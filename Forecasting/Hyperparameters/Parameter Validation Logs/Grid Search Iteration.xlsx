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2consulting1-my.sharepoint.com/personal/nicholas_kenney_key2consulting_com/Documents/Desktop/Forecasting/"/>
    </mc:Choice>
  </mc:AlternateContent>
  <xr:revisionPtr revIDLastSave="158" documentId="8_{8F5D09E9-2587-4D79-B0AB-48885DECE382}" xr6:coauthVersionLast="47" xr6:coauthVersionMax="47" xr10:uidLastSave="{FFAB46E2-F388-42A5-8948-D18620E2AD02}"/>
  <bookViews>
    <workbookView xWindow="6" yWindow="6" windowWidth="23028" windowHeight="13668" xr2:uid="{00000000-000D-0000-FFFF-FFFF00000000}"/>
  </bookViews>
  <sheets>
    <sheet name="Completely raw data" sheetId="1" r:id="rId1"/>
    <sheet name="2000s data" sheetId="3" r:id="rId2"/>
    <sheet name="resampled data" sheetId="4" r:id="rId3"/>
    <sheet name="Grid Search baseline" sheetId="7" r:id="rId4"/>
    <sheet name="Seasonal MA 2" sheetId="9" r:id="rId5"/>
    <sheet name="Seasonal MA 0" sheetId="10" r:id="rId6"/>
    <sheet name="MA 2" sheetId="11" r:id="rId7"/>
    <sheet name="MA 4" sheetId="12" r:id="rId8"/>
    <sheet name="MA 5" sheetId="14" r:id="rId9"/>
    <sheet name="Moving Average analysis" sheetId="13" r:id="rId10"/>
    <sheet name="Moving Average analysis (2)" sheetId="15" r:id="rId11"/>
  </sheets>
  <definedNames>
    <definedName name="_xlnm._FilterDatabase" localSheetId="1" hidden="1">'2000s data'!$A$1:$C$559</definedName>
    <definedName name="_xlnm._FilterDatabase" localSheetId="0" hidden="1">'Completely raw data'!$A$1:$C$1001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5" l="1"/>
  <c r="E20" i="15"/>
  <c r="N19" i="15"/>
  <c r="M19" i="15"/>
  <c r="F19" i="15"/>
  <c r="E19" i="15"/>
  <c r="N18" i="15"/>
  <c r="M18" i="15"/>
  <c r="F18" i="15"/>
  <c r="E18" i="15"/>
  <c r="N17" i="15"/>
  <c r="M17" i="15"/>
  <c r="F17" i="15"/>
  <c r="E17" i="15"/>
  <c r="N16" i="15"/>
  <c r="M16" i="15"/>
  <c r="F16" i="15"/>
  <c r="E16" i="15"/>
  <c r="N15" i="15"/>
  <c r="M15" i="15"/>
  <c r="F15" i="15"/>
  <c r="E15" i="15"/>
  <c r="N14" i="15"/>
  <c r="M14" i="15"/>
  <c r="F14" i="15"/>
  <c r="E14" i="15"/>
  <c r="N13" i="15"/>
  <c r="M13" i="15"/>
  <c r="F13" i="15"/>
  <c r="E13" i="15"/>
  <c r="N12" i="15"/>
  <c r="M12" i="15"/>
  <c r="F12" i="15"/>
  <c r="E12" i="15"/>
  <c r="N11" i="15"/>
  <c r="M11" i="15"/>
  <c r="F11" i="15"/>
  <c r="E11" i="15"/>
  <c r="N10" i="15"/>
  <c r="M10" i="15"/>
  <c r="F10" i="15"/>
  <c r="E10" i="15"/>
  <c r="N9" i="15"/>
  <c r="M9" i="15"/>
  <c r="F9" i="15"/>
  <c r="E9" i="15"/>
  <c r="N8" i="15"/>
  <c r="M8" i="15"/>
  <c r="F8" i="15"/>
  <c r="E8" i="15"/>
  <c r="N7" i="15"/>
  <c r="M7" i="15"/>
  <c r="F7" i="15"/>
  <c r="E7" i="15"/>
  <c r="N6" i="15"/>
  <c r="M6" i="15"/>
  <c r="F6" i="15"/>
  <c r="E6" i="15"/>
  <c r="N5" i="15"/>
  <c r="M5" i="15"/>
  <c r="F5" i="15"/>
  <c r="E5" i="15"/>
  <c r="N4" i="15"/>
  <c r="M4" i="15"/>
  <c r="F4" i="15"/>
  <c r="E4" i="15"/>
  <c r="N3" i="15"/>
  <c r="M3" i="15"/>
  <c r="F3" i="15"/>
  <c r="E3" i="15"/>
  <c r="N2" i="15"/>
  <c r="M2" i="15"/>
  <c r="M20" i="15" s="1"/>
  <c r="F2" i="15"/>
  <c r="E2" i="15"/>
  <c r="F277" i="14"/>
  <c r="E277" i="14"/>
  <c r="F276" i="14"/>
  <c r="E276" i="14"/>
  <c r="F275" i="14"/>
  <c r="E275" i="14"/>
  <c r="F274" i="14"/>
  <c r="E274" i="14"/>
  <c r="F273" i="14"/>
  <c r="E273" i="14"/>
  <c r="F272" i="14"/>
  <c r="E272" i="14"/>
  <c r="F271" i="14"/>
  <c r="E271" i="14"/>
  <c r="F270" i="14"/>
  <c r="E270" i="14"/>
  <c r="F269" i="14"/>
  <c r="E269" i="14"/>
  <c r="F268" i="14"/>
  <c r="E268" i="14"/>
  <c r="F267" i="14"/>
  <c r="E267" i="14"/>
  <c r="F266" i="14"/>
  <c r="E266" i="14"/>
  <c r="F265" i="14"/>
  <c r="E265" i="14"/>
  <c r="F264" i="14"/>
  <c r="E264" i="14"/>
  <c r="F263" i="14"/>
  <c r="E263" i="14"/>
  <c r="F262" i="14"/>
  <c r="E262" i="14"/>
  <c r="F261" i="14"/>
  <c r="E261" i="14"/>
  <c r="F260" i="14"/>
  <c r="E260" i="14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4" i="13"/>
  <c r="M4" i="13"/>
  <c r="N3" i="13"/>
  <c r="M3" i="13"/>
  <c r="N2" i="13"/>
  <c r="N20" i="13" s="1"/>
  <c r="M2" i="13"/>
  <c r="M20" i="13" s="1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E7" i="13"/>
  <c r="F6" i="13"/>
  <c r="E6" i="13"/>
  <c r="F5" i="13"/>
  <c r="E5" i="13"/>
  <c r="F4" i="13"/>
  <c r="E4" i="13"/>
  <c r="F3" i="13"/>
  <c r="E3" i="13"/>
  <c r="F2" i="13"/>
  <c r="E2" i="13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78" i="11" s="1"/>
  <c r="F260" i="11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77" i="9"/>
  <c r="F276" i="9"/>
  <c r="F275" i="9"/>
  <c r="F274" i="9"/>
  <c r="F273" i="9"/>
  <c r="F272" i="9"/>
  <c r="F271" i="9"/>
  <c r="F270" i="9"/>
  <c r="F269" i="9"/>
  <c r="F268" i="9"/>
  <c r="F278" i="9" s="1"/>
  <c r="F267" i="9"/>
  <c r="F266" i="9"/>
  <c r="F265" i="9"/>
  <c r="F264" i="9"/>
  <c r="F263" i="9"/>
  <c r="F262" i="9"/>
  <c r="F261" i="9"/>
  <c r="F260" i="9"/>
  <c r="F263" i="7"/>
  <c r="F278" i="7"/>
  <c r="F261" i="7"/>
  <c r="F262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60" i="7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78" i="10" s="1"/>
  <c r="E260" i="9"/>
  <c r="E278" i="9" s="1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78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60" i="7"/>
  <c r="N20" i="15" l="1"/>
  <c r="E278" i="14"/>
  <c r="F278" i="14"/>
  <c r="E20" i="13"/>
  <c r="F20" i="13"/>
  <c r="E278" i="12"/>
  <c r="F278" i="12"/>
  <c r="E278" i="11"/>
</calcChain>
</file>

<file path=xl/sharedStrings.xml><?xml version="1.0" encoding="utf-8"?>
<sst xmlns="http://schemas.openxmlformats.org/spreadsheetml/2006/main" count="1638" uniqueCount="23">
  <si>
    <t>Fuel_class</t>
  </si>
  <si>
    <t>Operating_date</t>
  </si>
  <si>
    <t>Electricity_generated</t>
  </si>
  <si>
    <t>Fossil Fuels</t>
  </si>
  <si>
    <t>All Other Fuels</t>
  </si>
  <si>
    <t>Renewable Fuels</t>
  </si>
  <si>
    <t>Fuel class</t>
  </si>
  <si>
    <t>Operating date</t>
  </si>
  <si>
    <t>Electricity generated</t>
  </si>
  <si>
    <t>Unknown</t>
  </si>
  <si>
    <t>Forecasted_Electricity</t>
  </si>
  <si>
    <t>Q (Seasonal Moving Average order) = 2</t>
  </si>
  <si>
    <t>Q (Seasonal Moving Average order) = 0</t>
  </si>
  <si>
    <t>q ( Moving Average order) = 2</t>
  </si>
  <si>
    <t xml:space="preserve">ARIMA(0,1,3)(0,1,1)[12] </t>
  </si>
  <si>
    <t>q ( Moving Average order) = 4</t>
  </si>
  <si>
    <t>| (Actual - Predicted) / Actual | * 100</t>
  </si>
  <si>
    <t>MAPE</t>
  </si>
  <si>
    <t>MAE</t>
  </si>
  <si>
    <t>| (Actual - Predicted)|</t>
  </si>
  <si>
    <t>MAPE | (Actual - Predicted) / Actual | * 100</t>
  </si>
  <si>
    <t>MAE | (Actual - Predicted)|</t>
  </si>
  <si>
    <t>SARIMAX(1, 1, 5)x(1, 1, 1,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</si>
</sst>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7415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43" fontId="0" fillId="0" borderId="0" xfId="1" applyFont="1"/>
    <xf numFmtId="43" fontId="0" fillId="0" borderId="0" xfId="0" applyNumberFormat="1"/>
    <xf numFmtId="164" fontId="0" fillId="0" borderId="0" xfId="1" applyNumberFormat="1" applyFont="1"/>
    <xf numFmtId="0" fontId="8" fillId="4" borderId="0" xfId="9"/>
    <xf numFmtId="0" fontId="18" fillId="0" borderId="0" xfId="0" applyFont="1"/>
    <xf numFmtId="43" fontId="11" fillId="6" borderId="4" xfId="12" applyNumberFormat="1"/>
    <xf numFmtId="9" fontId="0" fillId="0" borderId="0" xfId="43" applyFont="1"/>
    <xf numFmtId="9" fontId="11" fillId="6" borderId="4" xfId="43" applyFont="1" applyFill="1" applyBorder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232</xdr:row>
      <xdr:rowOff>0</xdr:rowOff>
    </xdr:from>
    <xdr:to>
      <xdr:col>11</xdr:col>
      <xdr:colOff>296478</xdr:colOff>
      <xdr:row>253</xdr:row>
      <xdr:rowOff>143453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A25A0-50B8-586F-0EBE-D3D0BFD69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8850" y="44196000"/>
          <a:ext cx="8621328" cy="414395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A18" sqref="A18"/>
    </sheetView>
  </sheetViews>
  <sheetFormatPr defaultRowHeight="15" x14ac:dyDescent="0.25"/>
  <cols>
    <col min="1" max="1" width="16.28515625" bestFit="1" customWidth="1"/>
    <col min="2" max="2" width="15" bestFit="1" customWidth="1"/>
    <col min="3" max="3" width="2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>
        <v>1</v>
      </c>
      <c r="C2">
        <v>199333.68</v>
      </c>
    </row>
    <row r="3" spans="1:3" x14ac:dyDescent="0.25">
      <c r="A3" t="s">
        <v>3</v>
      </c>
      <c r="B3" s="1">
        <v>1</v>
      </c>
      <c r="C3">
        <v>146667541.62</v>
      </c>
    </row>
    <row r="4" spans="1:3" x14ac:dyDescent="0.25">
      <c r="A4" t="s">
        <v>5</v>
      </c>
      <c r="B4" s="1">
        <v>3654</v>
      </c>
      <c r="C4">
        <v>13962</v>
      </c>
    </row>
    <row r="5" spans="1:3" x14ac:dyDescent="0.25">
      <c r="A5" t="s">
        <v>5</v>
      </c>
      <c r="B5" s="1">
        <v>4019</v>
      </c>
      <c r="C5">
        <v>11246</v>
      </c>
    </row>
    <row r="6" spans="1:3" x14ac:dyDescent="0.25">
      <c r="A6" t="s">
        <v>5</v>
      </c>
      <c r="B6" s="1">
        <v>5115</v>
      </c>
      <c r="C6">
        <v>12994</v>
      </c>
    </row>
    <row r="7" spans="1:3" x14ac:dyDescent="0.25">
      <c r="A7" t="s">
        <v>5</v>
      </c>
      <c r="B7" s="1">
        <v>7672</v>
      </c>
      <c r="C7">
        <v>68</v>
      </c>
    </row>
    <row r="8" spans="1:3" x14ac:dyDescent="0.25">
      <c r="A8" t="s">
        <v>5</v>
      </c>
      <c r="B8" s="1">
        <v>8767</v>
      </c>
      <c r="C8">
        <v>3725</v>
      </c>
    </row>
    <row r="9" spans="1:3" x14ac:dyDescent="0.25">
      <c r="A9" t="s">
        <v>5</v>
      </c>
      <c r="B9" s="1">
        <v>9467</v>
      </c>
      <c r="C9">
        <v>23043.24</v>
      </c>
    </row>
    <row r="10" spans="1:3" x14ac:dyDescent="0.25">
      <c r="A10" t="s">
        <v>5</v>
      </c>
      <c r="B10" s="1">
        <v>10563</v>
      </c>
      <c r="C10">
        <v>309707</v>
      </c>
    </row>
    <row r="11" spans="1:3" x14ac:dyDescent="0.25">
      <c r="A11" t="s">
        <v>5</v>
      </c>
      <c r="B11" s="1">
        <v>10594</v>
      </c>
      <c r="C11">
        <v>-1504</v>
      </c>
    </row>
    <row r="12" spans="1:3" x14ac:dyDescent="0.25">
      <c r="A12" t="s">
        <v>5</v>
      </c>
      <c r="B12" s="1">
        <v>10959</v>
      </c>
      <c r="C12">
        <v>3325</v>
      </c>
    </row>
    <row r="13" spans="1:3" x14ac:dyDescent="0.25">
      <c r="A13" t="s">
        <v>5</v>
      </c>
      <c r="B13" s="1">
        <v>11902</v>
      </c>
      <c r="C13">
        <v>28985</v>
      </c>
    </row>
    <row r="14" spans="1:3" x14ac:dyDescent="0.25">
      <c r="A14" t="s">
        <v>5</v>
      </c>
      <c r="B14" s="1">
        <v>12601</v>
      </c>
      <c r="C14">
        <v>2625</v>
      </c>
    </row>
    <row r="15" spans="1:3" x14ac:dyDescent="0.25">
      <c r="A15" t="s">
        <v>5</v>
      </c>
      <c r="B15" s="1">
        <v>15827</v>
      </c>
      <c r="C15">
        <v>293476</v>
      </c>
    </row>
    <row r="16" spans="1:3" x14ac:dyDescent="0.25">
      <c r="A16" t="s">
        <v>5</v>
      </c>
      <c r="B16" s="1">
        <v>16803</v>
      </c>
      <c r="C16">
        <v>35181</v>
      </c>
    </row>
    <row r="17" spans="1:3" x14ac:dyDescent="0.25">
      <c r="A17" t="s">
        <v>3</v>
      </c>
      <c r="B17" s="1">
        <v>17411</v>
      </c>
      <c r="C17">
        <v>2346.23</v>
      </c>
    </row>
    <row r="18" spans="1:3" x14ac:dyDescent="0.25">
      <c r="A18" t="s">
        <v>3</v>
      </c>
      <c r="B18" s="1">
        <v>17533</v>
      </c>
      <c r="C18">
        <v>28111.72</v>
      </c>
    </row>
    <row r="19" spans="1:3" x14ac:dyDescent="0.25">
      <c r="A19" t="s">
        <v>5</v>
      </c>
      <c r="B19" s="1">
        <v>17533</v>
      </c>
      <c r="C19">
        <v>848408.28</v>
      </c>
    </row>
    <row r="20" spans="1:3" x14ac:dyDescent="0.25">
      <c r="A20" t="s">
        <v>5</v>
      </c>
      <c r="B20" s="1">
        <v>17685</v>
      </c>
      <c r="C20">
        <v>287920</v>
      </c>
    </row>
    <row r="21" spans="1:3" x14ac:dyDescent="0.25">
      <c r="A21" t="s">
        <v>3</v>
      </c>
      <c r="B21" s="1">
        <v>17807</v>
      </c>
      <c r="C21">
        <v>0</v>
      </c>
    </row>
    <row r="22" spans="1:3" x14ac:dyDescent="0.25">
      <c r="A22" t="s">
        <v>5</v>
      </c>
      <c r="B22" s="1">
        <v>17989</v>
      </c>
      <c r="C22">
        <v>1233692</v>
      </c>
    </row>
    <row r="23" spans="1:3" x14ac:dyDescent="0.25">
      <c r="A23" t="s">
        <v>4</v>
      </c>
      <c r="B23" s="1">
        <v>18203</v>
      </c>
      <c r="C23">
        <v>85859.48</v>
      </c>
    </row>
    <row r="24" spans="1:3" x14ac:dyDescent="0.25">
      <c r="A24" t="s">
        <v>3</v>
      </c>
      <c r="B24" s="1">
        <v>18203</v>
      </c>
      <c r="C24">
        <v>595.25</v>
      </c>
    </row>
    <row r="25" spans="1:3" x14ac:dyDescent="0.25">
      <c r="A25" t="s">
        <v>5</v>
      </c>
      <c r="B25" s="1">
        <v>18203</v>
      </c>
      <c r="C25">
        <v>907.31</v>
      </c>
    </row>
    <row r="26" spans="1:3" x14ac:dyDescent="0.25">
      <c r="A26" t="s">
        <v>5</v>
      </c>
      <c r="B26" s="1">
        <v>18264</v>
      </c>
      <c r="C26">
        <v>210.22</v>
      </c>
    </row>
    <row r="27" spans="1:3" x14ac:dyDescent="0.25">
      <c r="A27" t="s">
        <v>3</v>
      </c>
      <c r="B27" s="1">
        <v>18264</v>
      </c>
      <c r="C27">
        <v>59949.78</v>
      </c>
    </row>
    <row r="28" spans="1:3" x14ac:dyDescent="0.25">
      <c r="A28" t="s">
        <v>3</v>
      </c>
      <c r="B28" s="1">
        <v>18598</v>
      </c>
      <c r="C28">
        <v>5579</v>
      </c>
    </row>
    <row r="29" spans="1:3" x14ac:dyDescent="0.25">
      <c r="A29" t="s">
        <v>4</v>
      </c>
      <c r="B29" s="1">
        <v>18629</v>
      </c>
      <c r="C29">
        <v>21586</v>
      </c>
    </row>
    <row r="30" spans="1:3" x14ac:dyDescent="0.25">
      <c r="A30" t="s">
        <v>3</v>
      </c>
      <c r="B30" s="1">
        <v>18629</v>
      </c>
      <c r="C30">
        <v>0</v>
      </c>
    </row>
    <row r="31" spans="1:3" x14ac:dyDescent="0.25">
      <c r="A31" t="s">
        <v>3</v>
      </c>
      <c r="B31" s="1">
        <v>18688</v>
      </c>
      <c r="C31">
        <v>1257.45</v>
      </c>
    </row>
    <row r="32" spans="1:3" x14ac:dyDescent="0.25">
      <c r="A32" t="s">
        <v>3</v>
      </c>
      <c r="B32" s="1">
        <v>18780</v>
      </c>
      <c r="C32">
        <v>1481.18</v>
      </c>
    </row>
    <row r="33" spans="1:3" x14ac:dyDescent="0.25">
      <c r="A33" t="s">
        <v>5</v>
      </c>
      <c r="B33" s="1">
        <v>18780</v>
      </c>
      <c r="C33">
        <v>522948.83</v>
      </c>
    </row>
    <row r="34" spans="1:3" x14ac:dyDescent="0.25">
      <c r="A34" t="s">
        <v>5</v>
      </c>
      <c r="B34" s="1">
        <v>18810</v>
      </c>
      <c r="C34">
        <v>330103</v>
      </c>
    </row>
    <row r="35" spans="1:3" x14ac:dyDescent="0.25">
      <c r="A35" t="s">
        <v>5</v>
      </c>
      <c r="B35" s="1">
        <v>19238</v>
      </c>
      <c r="C35">
        <v>1099307</v>
      </c>
    </row>
    <row r="36" spans="1:3" x14ac:dyDescent="0.25">
      <c r="A36" t="s">
        <v>3</v>
      </c>
      <c r="B36" s="1">
        <v>19725</v>
      </c>
      <c r="C36">
        <v>0</v>
      </c>
    </row>
    <row r="37" spans="1:3" x14ac:dyDescent="0.25">
      <c r="A37" t="s">
        <v>5</v>
      </c>
      <c r="B37" s="1">
        <v>19845</v>
      </c>
      <c r="C37">
        <v>177645</v>
      </c>
    </row>
    <row r="38" spans="1:3" x14ac:dyDescent="0.25">
      <c r="A38" t="s">
        <v>3</v>
      </c>
      <c r="B38" s="1">
        <v>20090</v>
      </c>
      <c r="C38">
        <v>5.82</v>
      </c>
    </row>
    <row r="39" spans="1:3" x14ac:dyDescent="0.25">
      <c r="A39" t="s">
        <v>5</v>
      </c>
      <c r="B39" s="1">
        <v>20363</v>
      </c>
      <c r="C39">
        <v>1059399</v>
      </c>
    </row>
    <row r="40" spans="1:3" x14ac:dyDescent="0.25">
      <c r="A40" t="s">
        <v>3</v>
      </c>
      <c r="B40" s="1">
        <v>20424</v>
      </c>
      <c r="C40">
        <v>4601154.01</v>
      </c>
    </row>
    <row r="41" spans="1:3" x14ac:dyDescent="0.25">
      <c r="A41" t="s">
        <v>5</v>
      </c>
      <c r="B41" s="1">
        <v>20576</v>
      </c>
      <c r="C41">
        <v>182911</v>
      </c>
    </row>
    <row r="42" spans="1:3" x14ac:dyDescent="0.25">
      <c r="A42" t="s">
        <v>3</v>
      </c>
      <c r="B42" s="1">
        <v>20880</v>
      </c>
      <c r="C42">
        <v>30434</v>
      </c>
    </row>
    <row r="43" spans="1:3" x14ac:dyDescent="0.25">
      <c r="A43" t="s">
        <v>5</v>
      </c>
      <c r="B43" s="1">
        <v>20972</v>
      </c>
      <c r="C43">
        <v>33965.910000000003</v>
      </c>
    </row>
    <row r="44" spans="1:3" x14ac:dyDescent="0.25">
      <c r="A44" t="s">
        <v>3</v>
      </c>
      <c r="B44" s="1">
        <v>20972</v>
      </c>
      <c r="C44">
        <v>6310.1</v>
      </c>
    </row>
    <row r="45" spans="1:3" x14ac:dyDescent="0.25">
      <c r="A45" t="s">
        <v>4</v>
      </c>
      <c r="B45" s="1">
        <v>21186</v>
      </c>
      <c r="C45">
        <v>20293</v>
      </c>
    </row>
    <row r="46" spans="1:3" x14ac:dyDescent="0.25">
      <c r="A46" t="s">
        <v>3</v>
      </c>
      <c r="B46" s="1">
        <v>21306</v>
      </c>
      <c r="C46">
        <v>22280.02</v>
      </c>
    </row>
    <row r="47" spans="1:3" x14ac:dyDescent="0.25">
      <c r="A47" t="s">
        <v>5</v>
      </c>
      <c r="B47" s="1">
        <v>21367</v>
      </c>
      <c r="C47">
        <v>6127</v>
      </c>
    </row>
    <row r="48" spans="1:3" x14ac:dyDescent="0.25">
      <c r="A48" t="s">
        <v>3</v>
      </c>
      <c r="B48" s="1">
        <v>21367</v>
      </c>
      <c r="C48">
        <v>-579</v>
      </c>
    </row>
    <row r="49" spans="1:3" x14ac:dyDescent="0.25">
      <c r="A49" t="s">
        <v>5</v>
      </c>
      <c r="B49" s="1">
        <v>21459</v>
      </c>
      <c r="C49">
        <v>534321</v>
      </c>
    </row>
    <row r="50" spans="1:3" x14ac:dyDescent="0.25">
      <c r="A50" t="s">
        <v>5</v>
      </c>
      <c r="B50" s="1">
        <v>21490</v>
      </c>
      <c r="C50">
        <v>344282</v>
      </c>
    </row>
    <row r="51" spans="1:3" x14ac:dyDescent="0.25">
      <c r="A51" t="s">
        <v>5</v>
      </c>
      <c r="B51" s="1">
        <v>21520</v>
      </c>
      <c r="C51">
        <v>686468</v>
      </c>
    </row>
    <row r="52" spans="1:3" x14ac:dyDescent="0.25">
      <c r="A52" t="s">
        <v>3</v>
      </c>
      <c r="B52" s="1">
        <v>21702</v>
      </c>
      <c r="C52">
        <v>-27603</v>
      </c>
    </row>
    <row r="53" spans="1:3" x14ac:dyDescent="0.25">
      <c r="A53" t="s">
        <v>5</v>
      </c>
      <c r="B53" s="1">
        <v>21732</v>
      </c>
      <c r="C53">
        <v>4685556</v>
      </c>
    </row>
    <row r="54" spans="1:3" x14ac:dyDescent="0.25">
      <c r="A54" t="s">
        <v>5</v>
      </c>
      <c r="B54" s="1">
        <v>21976</v>
      </c>
      <c r="C54">
        <v>265270</v>
      </c>
    </row>
    <row r="55" spans="1:3" x14ac:dyDescent="0.25">
      <c r="A55" t="s">
        <v>5</v>
      </c>
      <c r="B55" s="1">
        <v>22129</v>
      </c>
      <c r="C55">
        <v>536572</v>
      </c>
    </row>
    <row r="56" spans="1:3" x14ac:dyDescent="0.25">
      <c r="A56" t="s">
        <v>5</v>
      </c>
      <c r="B56" s="1">
        <v>22463</v>
      </c>
      <c r="C56">
        <v>2705644</v>
      </c>
    </row>
    <row r="57" spans="1:3" x14ac:dyDescent="0.25">
      <c r="A57" t="s">
        <v>3</v>
      </c>
      <c r="B57" s="1">
        <v>22463</v>
      </c>
      <c r="C57">
        <v>70171</v>
      </c>
    </row>
    <row r="58" spans="1:3" x14ac:dyDescent="0.25">
      <c r="A58" t="s">
        <v>3</v>
      </c>
      <c r="B58" s="1">
        <v>22494</v>
      </c>
      <c r="C58">
        <v>27</v>
      </c>
    </row>
    <row r="59" spans="1:3" x14ac:dyDescent="0.25">
      <c r="A59" t="s">
        <v>5</v>
      </c>
      <c r="B59" s="1">
        <v>22616</v>
      </c>
      <c r="C59">
        <v>915903</v>
      </c>
    </row>
    <row r="60" spans="1:3" x14ac:dyDescent="0.25">
      <c r="A60" t="s">
        <v>5</v>
      </c>
      <c r="B60" s="1">
        <v>22706</v>
      </c>
      <c r="C60">
        <v>551209</v>
      </c>
    </row>
    <row r="61" spans="1:3" x14ac:dyDescent="0.25">
      <c r="A61" t="s">
        <v>5</v>
      </c>
      <c r="B61" s="1">
        <v>22737</v>
      </c>
      <c r="C61">
        <v>1598861</v>
      </c>
    </row>
    <row r="62" spans="1:3" x14ac:dyDescent="0.25">
      <c r="A62" t="s">
        <v>4</v>
      </c>
      <c r="B62" s="1">
        <v>22767</v>
      </c>
      <c r="C62">
        <v>0</v>
      </c>
    </row>
    <row r="63" spans="1:3" x14ac:dyDescent="0.25">
      <c r="A63" t="s">
        <v>3</v>
      </c>
      <c r="B63" s="1">
        <v>22767</v>
      </c>
      <c r="C63">
        <v>6407.12</v>
      </c>
    </row>
    <row r="64" spans="1:3" x14ac:dyDescent="0.25">
      <c r="A64" t="s">
        <v>3</v>
      </c>
      <c r="B64" s="1">
        <v>22828</v>
      </c>
      <c r="C64">
        <v>255650</v>
      </c>
    </row>
    <row r="65" spans="1:3" x14ac:dyDescent="0.25">
      <c r="A65" t="s">
        <v>5</v>
      </c>
      <c r="B65" s="1">
        <v>22920</v>
      </c>
      <c r="C65">
        <v>-147983</v>
      </c>
    </row>
    <row r="66" spans="1:3" x14ac:dyDescent="0.25">
      <c r="A66" t="s">
        <v>3</v>
      </c>
      <c r="B66" s="1">
        <v>22981</v>
      </c>
      <c r="C66">
        <v>85</v>
      </c>
    </row>
    <row r="67" spans="1:3" x14ac:dyDescent="0.25">
      <c r="A67" t="s">
        <v>5</v>
      </c>
      <c r="B67" s="1">
        <v>23071</v>
      </c>
      <c r="C67">
        <v>170721</v>
      </c>
    </row>
    <row r="68" spans="1:3" x14ac:dyDescent="0.25">
      <c r="A68" t="s">
        <v>5</v>
      </c>
      <c r="B68" s="1">
        <v>23193</v>
      </c>
      <c r="C68">
        <v>50251</v>
      </c>
    </row>
    <row r="69" spans="1:3" x14ac:dyDescent="0.25">
      <c r="A69" t="s">
        <v>5</v>
      </c>
      <c r="B69" s="1">
        <v>23346</v>
      </c>
      <c r="C69">
        <v>-86930</v>
      </c>
    </row>
    <row r="70" spans="1:3" x14ac:dyDescent="0.25">
      <c r="A70" t="s">
        <v>5</v>
      </c>
      <c r="B70" s="1">
        <v>23408</v>
      </c>
      <c r="C70">
        <v>138488</v>
      </c>
    </row>
    <row r="71" spans="1:3" x14ac:dyDescent="0.25">
      <c r="A71" t="s">
        <v>5</v>
      </c>
      <c r="B71" s="1">
        <v>23437</v>
      </c>
      <c r="C71">
        <v>148778</v>
      </c>
    </row>
    <row r="72" spans="1:3" x14ac:dyDescent="0.25">
      <c r="A72" t="s">
        <v>5</v>
      </c>
      <c r="B72" s="1">
        <v>23498</v>
      </c>
      <c r="C72">
        <v>1269119</v>
      </c>
    </row>
    <row r="73" spans="1:3" x14ac:dyDescent="0.25">
      <c r="A73" t="s">
        <v>3</v>
      </c>
      <c r="B73" s="1">
        <v>23743</v>
      </c>
      <c r="C73">
        <v>605828</v>
      </c>
    </row>
    <row r="74" spans="1:3" x14ac:dyDescent="0.25">
      <c r="A74" t="s">
        <v>5</v>
      </c>
      <c r="B74" s="1">
        <v>23894</v>
      </c>
      <c r="C74">
        <v>28361.38</v>
      </c>
    </row>
    <row r="75" spans="1:3" x14ac:dyDescent="0.25">
      <c r="A75" t="s">
        <v>3</v>
      </c>
      <c r="B75" s="1">
        <v>23894</v>
      </c>
      <c r="C75">
        <v>5406.67</v>
      </c>
    </row>
    <row r="76" spans="1:3" x14ac:dyDescent="0.25">
      <c r="A76" t="s">
        <v>3</v>
      </c>
      <c r="B76" s="1">
        <v>23955</v>
      </c>
      <c r="C76">
        <v>104751.21</v>
      </c>
    </row>
    <row r="77" spans="1:3" x14ac:dyDescent="0.25">
      <c r="A77" t="s">
        <v>5</v>
      </c>
      <c r="B77" s="1">
        <v>23955</v>
      </c>
      <c r="C77">
        <v>199100.78</v>
      </c>
    </row>
    <row r="78" spans="1:3" x14ac:dyDescent="0.25">
      <c r="A78" t="s">
        <v>5</v>
      </c>
      <c r="B78" s="1">
        <v>23986</v>
      </c>
      <c r="C78">
        <v>182221</v>
      </c>
    </row>
    <row r="79" spans="1:3" x14ac:dyDescent="0.25">
      <c r="A79" t="s">
        <v>5</v>
      </c>
      <c r="B79" s="1">
        <v>24077</v>
      </c>
      <c r="C79">
        <v>-114816</v>
      </c>
    </row>
    <row r="80" spans="1:3" x14ac:dyDescent="0.25">
      <c r="A80" t="s">
        <v>5</v>
      </c>
      <c r="B80" s="1">
        <v>24108</v>
      </c>
      <c r="C80">
        <v>87631.4</v>
      </c>
    </row>
    <row r="81" spans="1:3" x14ac:dyDescent="0.25">
      <c r="A81" t="s">
        <v>3</v>
      </c>
      <c r="B81" s="1">
        <v>24108</v>
      </c>
      <c r="C81">
        <v>544667.18999999994</v>
      </c>
    </row>
    <row r="82" spans="1:3" x14ac:dyDescent="0.25">
      <c r="A82" t="s">
        <v>5</v>
      </c>
      <c r="B82" s="1">
        <v>24139</v>
      </c>
      <c r="C82">
        <v>2789771</v>
      </c>
    </row>
    <row r="83" spans="1:3" x14ac:dyDescent="0.25">
      <c r="A83" t="s">
        <v>3</v>
      </c>
      <c r="B83" s="1">
        <v>24167</v>
      </c>
      <c r="C83">
        <v>707790</v>
      </c>
    </row>
    <row r="84" spans="1:3" x14ac:dyDescent="0.25">
      <c r="A84" t="s">
        <v>3</v>
      </c>
      <c r="B84" s="1">
        <v>24198</v>
      </c>
      <c r="C84">
        <v>918882</v>
      </c>
    </row>
    <row r="85" spans="1:3" x14ac:dyDescent="0.25">
      <c r="A85" t="s">
        <v>5</v>
      </c>
      <c r="B85" s="1">
        <v>24381</v>
      </c>
      <c r="C85">
        <v>409329</v>
      </c>
    </row>
    <row r="86" spans="1:3" x14ac:dyDescent="0.25">
      <c r="A86" t="s">
        <v>3</v>
      </c>
      <c r="B86" s="1">
        <v>24473</v>
      </c>
      <c r="C86">
        <v>40570.71</v>
      </c>
    </row>
    <row r="87" spans="1:3" x14ac:dyDescent="0.25">
      <c r="A87" t="s">
        <v>4</v>
      </c>
      <c r="B87" s="1">
        <v>24473</v>
      </c>
      <c r="C87">
        <v>0</v>
      </c>
    </row>
    <row r="88" spans="1:3" x14ac:dyDescent="0.25">
      <c r="A88" t="s">
        <v>5</v>
      </c>
      <c r="B88" s="1">
        <v>24473</v>
      </c>
      <c r="C88">
        <v>89989.31</v>
      </c>
    </row>
    <row r="89" spans="1:3" x14ac:dyDescent="0.25">
      <c r="A89" t="s">
        <v>3</v>
      </c>
      <c r="B89" s="1">
        <v>24532</v>
      </c>
      <c r="C89">
        <v>0</v>
      </c>
    </row>
    <row r="90" spans="1:3" x14ac:dyDescent="0.25">
      <c r="A90" t="s">
        <v>3</v>
      </c>
      <c r="B90" s="1">
        <v>24624</v>
      </c>
      <c r="C90">
        <v>761893.01</v>
      </c>
    </row>
    <row r="91" spans="1:3" x14ac:dyDescent="0.25">
      <c r="A91" t="s">
        <v>5</v>
      </c>
      <c r="B91" s="1">
        <v>24624</v>
      </c>
      <c r="C91">
        <v>33605</v>
      </c>
    </row>
    <row r="92" spans="1:3" x14ac:dyDescent="0.25">
      <c r="A92" t="s">
        <v>3</v>
      </c>
      <c r="B92" s="1">
        <v>24654</v>
      </c>
      <c r="C92">
        <v>201043</v>
      </c>
    </row>
    <row r="93" spans="1:3" x14ac:dyDescent="0.25">
      <c r="A93" t="s">
        <v>3</v>
      </c>
      <c r="B93" s="1">
        <v>24746</v>
      </c>
      <c r="C93">
        <v>2062203.01</v>
      </c>
    </row>
    <row r="94" spans="1:3" x14ac:dyDescent="0.25">
      <c r="A94" t="s">
        <v>4</v>
      </c>
      <c r="B94" s="1">
        <v>24807</v>
      </c>
      <c r="C94">
        <v>0</v>
      </c>
    </row>
    <row r="95" spans="1:3" x14ac:dyDescent="0.25">
      <c r="A95" t="s">
        <v>3</v>
      </c>
      <c r="B95" s="1">
        <v>24807</v>
      </c>
      <c r="C95">
        <v>4</v>
      </c>
    </row>
    <row r="96" spans="1:3" x14ac:dyDescent="0.25">
      <c r="A96" t="s">
        <v>5</v>
      </c>
      <c r="B96" s="1">
        <v>24869</v>
      </c>
      <c r="C96">
        <v>-335202</v>
      </c>
    </row>
    <row r="97" spans="1:3" x14ac:dyDescent="0.25">
      <c r="A97" t="s">
        <v>3</v>
      </c>
      <c r="B97" s="1">
        <v>24959</v>
      </c>
      <c r="C97">
        <v>3203371.99</v>
      </c>
    </row>
    <row r="98" spans="1:3" x14ac:dyDescent="0.25">
      <c r="A98" t="s">
        <v>5</v>
      </c>
      <c r="B98" s="1">
        <v>24990</v>
      </c>
      <c r="C98">
        <v>-407510</v>
      </c>
    </row>
    <row r="99" spans="1:3" x14ac:dyDescent="0.25">
      <c r="A99" t="s">
        <v>3</v>
      </c>
      <c r="B99" s="1">
        <v>24990</v>
      </c>
      <c r="C99">
        <v>1378779.01</v>
      </c>
    </row>
    <row r="100" spans="1:3" x14ac:dyDescent="0.25">
      <c r="A100" t="s">
        <v>5</v>
      </c>
      <c r="B100" s="1">
        <v>25051</v>
      </c>
      <c r="C100">
        <v>403007</v>
      </c>
    </row>
    <row r="101" spans="1:3" x14ac:dyDescent="0.25">
      <c r="A101" t="s">
        <v>5</v>
      </c>
      <c r="B101" s="1">
        <v>25143</v>
      </c>
      <c r="C101">
        <v>690997</v>
      </c>
    </row>
    <row r="102" spans="1:3" x14ac:dyDescent="0.25">
      <c r="A102" t="s">
        <v>3</v>
      </c>
      <c r="B102" s="1">
        <v>25143</v>
      </c>
      <c r="C102">
        <v>2506235</v>
      </c>
    </row>
    <row r="103" spans="1:3" x14ac:dyDescent="0.25">
      <c r="A103" t="s">
        <v>3</v>
      </c>
      <c r="B103" s="1">
        <v>25173</v>
      </c>
      <c r="C103">
        <v>2774116.03</v>
      </c>
    </row>
    <row r="104" spans="1:3" x14ac:dyDescent="0.25">
      <c r="A104" t="s">
        <v>3</v>
      </c>
      <c r="B104" s="1">
        <v>25204</v>
      </c>
      <c r="C104">
        <v>141102</v>
      </c>
    </row>
    <row r="105" spans="1:3" x14ac:dyDescent="0.25">
      <c r="A105" t="s">
        <v>5</v>
      </c>
      <c r="B105" s="1">
        <v>25204</v>
      </c>
      <c r="C105">
        <v>2509611</v>
      </c>
    </row>
    <row r="106" spans="1:3" x14ac:dyDescent="0.25">
      <c r="A106" t="s">
        <v>4</v>
      </c>
      <c r="B106" s="1">
        <v>25235</v>
      </c>
      <c r="C106">
        <v>-857</v>
      </c>
    </row>
    <row r="107" spans="1:3" x14ac:dyDescent="0.25">
      <c r="A107" t="s">
        <v>5</v>
      </c>
      <c r="B107" s="1">
        <v>25235</v>
      </c>
      <c r="C107">
        <v>849429</v>
      </c>
    </row>
    <row r="108" spans="1:3" x14ac:dyDescent="0.25">
      <c r="A108" t="s">
        <v>3</v>
      </c>
      <c r="B108" s="1">
        <v>25263</v>
      </c>
      <c r="C108">
        <v>803655</v>
      </c>
    </row>
    <row r="109" spans="1:3" x14ac:dyDescent="0.25">
      <c r="A109" t="s">
        <v>3</v>
      </c>
      <c r="B109" s="1">
        <v>25294</v>
      </c>
      <c r="C109">
        <v>11014</v>
      </c>
    </row>
    <row r="110" spans="1:3" x14ac:dyDescent="0.25">
      <c r="A110" t="s">
        <v>3</v>
      </c>
      <c r="B110" s="1">
        <v>25355</v>
      </c>
      <c r="C110">
        <v>1749381</v>
      </c>
    </row>
    <row r="111" spans="1:3" x14ac:dyDescent="0.25">
      <c r="A111" t="s">
        <v>3</v>
      </c>
      <c r="B111" s="1">
        <v>25416</v>
      </c>
      <c r="C111">
        <v>113327.01</v>
      </c>
    </row>
    <row r="112" spans="1:3" x14ac:dyDescent="0.25">
      <c r="A112" t="s">
        <v>5</v>
      </c>
      <c r="B112" s="1">
        <v>25477</v>
      </c>
      <c r="C112">
        <v>1487281</v>
      </c>
    </row>
    <row r="113" spans="1:3" x14ac:dyDescent="0.25">
      <c r="A113" t="s">
        <v>3</v>
      </c>
      <c r="B113" s="1">
        <v>25477</v>
      </c>
      <c r="C113">
        <v>368517.01</v>
      </c>
    </row>
    <row r="114" spans="1:3" x14ac:dyDescent="0.25">
      <c r="A114" t="s">
        <v>3</v>
      </c>
      <c r="B114" s="1">
        <v>25538</v>
      </c>
      <c r="C114">
        <v>3</v>
      </c>
    </row>
    <row r="115" spans="1:3" x14ac:dyDescent="0.25">
      <c r="A115" t="s">
        <v>3</v>
      </c>
      <c r="B115" s="1">
        <v>25569</v>
      </c>
      <c r="C115">
        <v>798481.72</v>
      </c>
    </row>
    <row r="116" spans="1:3" x14ac:dyDescent="0.25">
      <c r="A116" t="s">
        <v>5</v>
      </c>
      <c r="B116" s="1">
        <v>25569</v>
      </c>
      <c r="C116">
        <v>37327.089999999997</v>
      </c>
    </row>
    <row r="117" spans="1:3" x14ac:dyDescent="0.25">
      <c r="A117" t="s">
        <v>3</v>
      </c>
      <c r="B117" s="1">
        <v>25689</v>
      </c>
      <c r="C117">
        <v>4649095.0199999996</v>
      </c>
    </row>
    <row r="118" spans="1:3" x14ac:dyDescent="0.25">
      <c r="A118" t="s">
        <v>5</v>
      </c>
      <c r="B118" s="1">
        <v>25720</v>
      </c>
      <c r="C118">
        <v>-253059</v>
      </c>
    </row>
    <row r="119" spans="1:3" x14ac:dyDescent="0.25">
      <c r="A119" t="s">
        <v>4</v>
      </c>
      <c r="B119" s="1">
        <v>25750</v>
      </c>
      <c r="C119">
        <v>3025362</v>
      </c>
    </row>
    <row r="120" spans="1:3" x14ac:dyDescent="0.25">
      <c r="A120" t="s">
        <v>3</v>
      </c>
      <c r="B120" s="1">
        <v>25750</v>
      </c>
      <c r="C120">
        <v>5736698.0099999998</v>
      </c>
    </row>
    <row r="121" spans="1:3" x14ac:dyDescent="0.25">
      <c r="A121" t="s">
        <v>3</v>
      </c>
      <c r="B121" s="1">
        <v>25842</v>
      </c>
      <c r="C121">
        <v>2669921.0099999998</v>
      </c>
    </row>
    <row r="122" spans="1:3" x14ac:dyDescent="0.25">
      <c r="A122" t="s">
        <v>3</v>
      </c>
      <c r="B122" s="1">
        <v>25873</v>
      </c>
      <c r="C122">
        <v>254</v>
      </c>
    </row>
    <row r="123" spans="1:3" x14ac:dyDescent="0.25">
      <c r="A123" t="s">
        <v>3</v>
      </c>
      <c r="B123" s="1">
        <v>25903</v>
      </c>
      <c r="C123">
        <v>377</v>
      </c>
    </row>
    <row r="124" spans="1:3" x14ac:dyDescent="0.25">
      <c r="A124" t="s">
        <v>4</v>
      </c>
      <c r="B124" s="1">
        <v>25993</v>
      </c>
      <c r="C124">
        <v>4423518</v>
      </c>
    </row>
    <row r="125" spans="1:3" x14ac:dyDescent="0.25">
      <c r="A125" t="s">
        <v>3</v>
      </c>
      <c r="B125" s="1">
        <v>26054</v>
      </c>
      <c r="C125">
        <v>7472465.0099999998</v>
      </c>
    </row>
    <row r="126" spans="1:3" x14ac:dyDescent="0.25">
      <c r="A126" t="s">
        <v>5</v>
      </c>
      <c r="B126" s="1">
        <v>26054</v>
      </c>
      <c r="C126">
        <v>-50979</v>
      </c>
    </row>
    <row r="127" spans="1:3" x14ac:dyDescent="0.25">
      <c r="A127" t="s">
        <v>5</v>
      </c>
      <c r="B127" s="1">
        <v>26085</v>
      </c>
      <c r="C127">
        <v>56151</v>
      </c>
    </row>
    <row r="128" spans="1:3" x14ac:dyDescent="0.25">
      <c r="A128" t="s">
        <v>4</v>
      </c>
      <c r="B128" s="1">
        <v>26085</v>
      </c>
      <c r="C128">
        <v>3072161</v>
      </c>
    </row>
    <row r="129" spans="1:3" x14ac:dyDescent="0.25">
      <c r="A129" t="s">
        <v>3</v>
      </c>
      <c r="B129" s="1">
        <v>26207</v>
      </c>
      <c r="C129">
        <v>1775929.6</v>
      </c>
    </row>
    <row r="130" spans="1:3" x14ac:dyDescent="0.25">
      <c r="A130" t="s">
        <v>4</v>
      </c>
      <c r="B130" s="1">
        <v>26207</v>
      </c>
      <c r="C130">
        <v>10460790</v>
      </c>
    </row>
    <row r="131" spans="1:3" x14ac:dyDescent="0.25">
      <c r="A131" t="s">
        <v>5</v>
      </c>
      <c r="B131" s="1">
        <v>26207</v>
      </c>
      <c r="C131">
        <v>186198.44</v>
      </c>
    </row>
    <row r="132" spans="1:3" x14ac:dyDescent="0.25">
      <c r="A132" t="s">
        <v>3</v>
      </c>
      <c r="B132" s="1">
        <v>26268</v>
      </c>
      <c r="C132">
        <v>1151800.01</v>
      </c>
    </row>
    <row r="133" spans="1:3" x14ac:dyDescent="0.25">
      <c r="A133" t="s">
        <v>5</v>
      </c>
      <c r="B133" s="1">
        <v>26268</v>
      </c>
      <c r="C133">
        <v>4686260</v>
      </c>
    </row>
    <row r="134" spans="1:3" x14ac:dyDescent="0.25">
      <c r="A134" t="s">
        <v>3</v>
      </c>
      <c r="B134" s="1">
        <v>26299</v>
      </c>
      <c r="C134">
        <v>0</v>
      </c>
    </row>
    <row r="135" spans="1:3" x14ac:dyDescent="0.25">
      <c r="A135" t="s">
        <v>3</v>
      </c>
      <c r="B135" s="1">
        <v>26359</v>
      </c>
      <c r="C135">
        <v>2750103</v>
      </c>
    </row>
    <row r="136" spans="1:3" x14ac:dyDescent="0.25">
      <c r="A136" t="s">
        <v>3</v>
      </c>
      <c r="B136" s="1">
        <v>26451</v>
      </c>
      <c r="C136">
        <v>203</v>
      </c>
    </row>
    <row r="137" spans="1:3" x14ac:dyDescent="0.25">
      <c r="A137" t="s">
        <v>5</v>
      </c>
      <c r="B137" s="1">
        <v>26451</v>
      </c>
      <c r="C137">
        <v>111520</v>
      </c>
    </row>
    <row r="138" spans="1:3" x14ac:dyDescent="0.25">
      <c r="A138" t="s">
        <v>3</v>
      </c>
      <c r="B138" s="1">
        <v>26481</v>
      </c>
      <c r="C138">
        <v>2267310</v>
      </c>
    </row>
    <row r="139" spans="1:3" x14ac:dyDescent="0.25">
      <c r="A139" t="s">
        <v>3</v>
      </c>
      <c r="B139" s="1">
        <v>26512</v>
      </c>
      <c r="C139">
        <v>39579.01</v>
      </c>
    </row>
    <row r="140" spans="1:3" x14ac:dyDescent="0.25">
      <c r="A140" t="s">
        <v>3</v>
      </c>
      <c r="B140" s="1">
        <v>26573</v>
      </c>
      <c r="C140">
        <v>-229</v>
      </c>
    </row>
    <row r="141" spans="1:3" x14ac:dyDescent="0.25">
      <c r="A141" t="s">
        <v>4</v>
      </c>
      <c r="B141" s="1">
        <v>26573</v>
      </c>
      <c r="C141">
        <v>6570988</v>
      </c>
    </row>
    <row r="142" spans="1:3" x14ac:dyDescent="0.25">
      <c r="A142" t="s">
        <v>4</v>
      </c>
      <c r="B142" s="1">
        <v>26634</v>
      </c>
      <c r="C142">
        <v>9774503</v>
      </c>
    </row>
    <row r="143" spans="1:3" x14ac:dyDescent="0.25">
      <c r="A143" t="s">
        <v>4</v>
      </c>
      <c r="B143" s="1">
        <v>26724</v>
      </c>
      <c r="C143">
        <v>0</v>
      </c>
    </row>
    <row r="144" spans="1:3" x14ac:dyDescent="0.25">
      <c r="A144" t="s">
        <v>3</v>
      </c>
      <c r="B144" s="1">
        <v>26724</v>
      </c>
      <c r="C144">
        <v>3939971</v>
      </c>
    </row>
    <row r="145" spans="1:3" x14ac:dyDescent="0.25">
      <c r="A145" t="s">
        <v>3</v>
      </c>
      <c r="B145" s="1">
        <v>26755</v>
      </c>
      <c r="C145">
        <v>339795.01</v>
      </c>
    </row>
    <row r="146" spans="1:3" x14ac:dyDescent="0.25">
      <c r="A146" t="s">
        <v>4</v>
      </c>
      <c r="B146" s="1">
        <v>26785</v>
      </c>
      <c r="C146">
        <v>8779362</v>
      </c>
    </row>
    <row r="147" spans="1:3" x14ac:dyDescent="0.25">
      <c r="A147" t="s">
        <v>3</v>
      </c>
      <c r="B147" s="1">
        <v>26785</v>
      </c>
      <c r="C147">
        <v>2290462</v>
      </c>
    </row>
    <row r="148" spans="1:3" x14ac:dyDescent="0.25">
      <c r="A148" t="s">
        <v>3</v>
      </c>
      <c r="B148" s="1">
        <v>26816</v>
      </c>
      <c r="C148">
        <v>790775</v>
      </c>
    </row>
    <row r="149" spans="1:3" x14ac:dyDescent="0.25">
      <c r="A149" t="s">
        <v>5</v>
      </c>
      <c r="B149" s="1">
        <v>26846</v>
      </c>
      <c r="C149">
        <v>-87100</v>
      </c>
    </row>
    <row r="150" spans="1:3" x14ac:dyDescent="0.25">
      <c r="A150" t="s">
        <v>3</v>
      </c>
      <c r="B150" s="1">
        <v>26846</v>
      </c>
      <c r="C150">
        <v>4328635.0199999996</v>
      </c>
    </row>
    <row r="151" spans="1:3" x14ac:dyDescent="0.25">
      <c r="A151" t="s">
        <v>3</v>
      </c>
      <c r="B151" s="1">
        <v>26877</v>
      </c>
      <c r="C151">
        <v>10447239</v>
      </c>
    </row>
    <row r="152" spans="1:3" x14ac:dyDescent="0.25">
      <c r="A152" t="s">
        <v>5</v>
      </c>
      <c r="B152" s="1">
        <v>26938</v>
      </c>
      <c r="C152">
        <v>-730978</v>
      </c>
    </row>
    <row r="153" spans="1:3" x14ac:dyDescent="0.25">
      <c r="A153" t="s">
        <v>3</v>
      </c>
      <c r="B153" s="1">
        <v>26938</v>
      </c>
      <c r="C153">
        <v>6617425</v>
      </c>
    </row>
    <row r="154" spans="1:3" x14ac:dyDescent="0.25">
      <c r="A154" t="s">
        <v>3</v>
      </c>
      <c r="B154" s="1">
        <v>26969</v>
      </c>
      <c r="C154">
        <v>6133703.0099999998</v>
      </c>
    </row>
    <row r="155" spans="1:3" x14ac:dyDescent="0.25">
      <c r="A155" t="s">
        <v>5</v>
      </c>
      <c r="B155" s="1">
        <v>26999</v>
      </c>
      <c r="C155">
        <v>3756975</v>
      </c>
    </row>
    <row r="156" spans="1:3" x14ac:dyDescent="0.25">
      <c r="A156" t="s">
        <v>5</v>
      </c>
      <c r="B156" s="1">
        <v>27061</v>
      </c>
      <c r="C156">
        <v>3623506</v>
      </c>
    </row>
    <row r="157" spans="1:3" x14ac:dyDescent="0.25">
      <c r="A157" t="s">
        <v>4</v>
      </c>
      <c r="B157" s="1">
        <v>27089</v>
      </c>
      <c r="C157">
        <v>4590485</v>
      </c>
    </row>
    <row r="158" spans="1:3" x14ac:dyDescent="0.25">
      <c r="A158" t="s">
        <v>3</v>
      </c>
      <c r="B158" s="1">
        <v>27150</v>
      </c>
      <c r="C158">
        <v>8500723.0299999993</v>
      </c>
    </row>
    <row r="159" spans="1:3" x14ac:dyDescent="0.25">
      <c r="A159" t="s">
        <v>3</v>
      </c>
      <c r="B159" s="1">
        <v>27181</v>
      </c>
      <c r="C159">
        <v>37857.01</v>
      </c>
    </row>
    <row r="160" spans="1:3" x14ac:dyDescent="0.25">
      <c r="A160" t="s">
        <v>5</v>
      </c>
      <c r="B160" s="1">
        <v>27303</v>
      </c>
      <c r="C160">
        <v>-123228</v>
      </c>
    </row>
    <row r="161" spans="1:3" x14ac:dyDescent="0.25">
      <c r="A161" t="s">
        <v>3</v>
      </c>
      <c r="B161" s="1">
        <v>27334</v>
      </c>
      <c r="C161">
        <v>-324.44</v>
      </c>
    </row>
    <row r="162" spans="1:3" x14ac:dyDescent="0.25">
      <c r="A162" t="s">
        <v>5</v>
      </c>
      <c r="B162" s="1">
        <v>27334</v>
      </c>
      <c r="C162">
        <v>23264.35</v>
      </c>
    </row>
    <row r="163" spans="1:3" x14ac:dyDescent="0.25">
      <c r="A163" t="s">
        <v>4</v>
      </c>
      <c r="B163" s="1">
        <v>27334</v>
      </c>
      <c r="C163">
        <v>19340.099999999999</v>
      </c>
    </row>
    <row r="164" spans="1:3" x14ac:dyDescent="0.25">
      <c r="A164" t="s">
        <v>3</v>
      </c>
      <c r="B164" s="1">
        <v>27364</v>
      </c>
      <c r="C164">
        <v>7174600.0199999996</v>
      </c>
    </row>
    <row r="165" spans="1:3" x14ac:dyDescent="0.25">
      <c r="A165" t="s">
        <v>5</v>
      </c>
      <c r="B165" s="1">
        <v>27515</v>
      </c>
      <c r="C165">
        <v>-161756</v>
      </c>
    </row>
    <row r="166" spans="1:3" x14ac:dyDescent="0.25">
      <c r="A166" t="s">
        <v>3</v>
      </c>
      <c r="B166" s="1">
        <v>27515</v>
      </c>
      <c r="C166">
        <v>1921745.01</v>
      </c>
    </row>
    <row r="167" spans="1:3" x14ac:dyDescent="0.25">
      <c r="A167" t="s">
        <v>3</v>
      </c>
      <c r="B167" s="1">
        <v>27546</v>
      </c>
      <c r="C167">
        <v>1845600</v>
      </c>
    </row>
    <row r="168" spans="1:3" x14ac:dyDescent="0.25">
      <c r="A168" t="s">
        <v>3</v>
      </c>
      <c r="B168" s="1">
        <v>27576</v>
      </c>
      <c r="C168">
        <v>8072449.0099999998</v>
      </c>
    </row>
    <row r="169" spans="1:3" x14ac:dyDescent="0.25">
      <c r="A169" t="s">
        <v>3</v>
      </c>
      <c r="B169" s="1">
        <v>27699</v>
      </c>
      <c r="C169">
        <v>7793861.0199999996</v>
      </c>
    </row>
    <row r="170" spans="1:3" x14ac:dyDescent="0.25">
      <c r="A170" t="s">
        <v>3</v>
      </c>
      <c r="B170" s="1">
        <v>27729</v>
      </c>
      <c r="C170">
        <v>9424684.0199999996</v>
      </c>
    </row>
    <row r="171" spans="1:3" x14ac:dyDescent="0.25">
      <c r="A171" t="s">
        <v>5</v>
      </c>
      <c r="B171" s="1">
        <v>27760</v>
      </c>
      <c r="C171">
        <v>131478.41</v>
      </c>
    </row>
    <row r="172" spans="1:3" x14ac:dyDescent="0.25">
      <c r="A172" t="s">
        <v>3</v>
      </c>
      <c r="B172" s="1">
        <v>27760</v>
      </c>
      <c r="C172">
        <v>586971.94999999995</v>
      </c>
    </row>
    <row r="173" spans="1:3" x14ac:dyDescent="0.25">
      <c r="A173" t="s">
        <v>5</v>
      </c>
      <c r="B173" s="1">
        <v>27791</v>
      </c>
      <c r="C173">
        <v>920477</v>
      </c>
    </row>
    <row r="174" spans="1:3" x14ac:dyDescent="0.25">
      <c r="A174" t="s">
        <v>3</v>
      </c>
      <c r="B174" s="1">
        <v>27820</v>
      </c>
      <c r="C174">
        <v>10359</v>
      </c>
    </row>
    <row r="175" spans="1:3" x14ac:dyDescent="0.25">
      <c r="A175" t="s">
        <v>3</v>
      </c>
      <c r="B175" s="1">
        <v>28004</v>
      </c>
      <c r="C175">
        <v>1657507.03</v>
      </c>
    </row>
    <row r="176" spans="1:3" x14ac:dyDescent="0.25">
      <c r="A176" t="s">
        <v>5</v>
      </c>
      <c r="B176" s="1">
        <v>28095</v>
      </c>
      <c r="C176">
        <v>258678.69</v>
      </c>
    </row>
    <row r="177" spans="1:3" x14ac:dyDescent="0.25">
      <c r="A177" t="s">
        <v>3</v>
      </c>
      <c r="B177" s="1">
        <v>28095</v>
      </c>
      <c r="C177">
        <v>64206.01</v>
      </c>
    </row>
    <row r="178" spans="1:3" x14ac:dyDescent="0.25">
      <c r="A178" t="s">
        <v>4</v>
      </c>
      <c r="B178" s="1">
        <v>28126</v>
      </c>
      <c r="C178">
        <v>0</v>
      </c>
    </row>
    <row r="179" spans="1:3" x14ac:dyDescent="0.25">
      <c r="A179" t="s">
        <v>3</v>
      </c>
      <c r="B179" s="1">
        <v>28126</v>
      </c>
      <c r="C179">
        <v>176397.47</v>
      </c>
    </row>
    <row r="180" spans="1:3" x14ac:dyDescent="0.25">
      <c r="A180" t="s">
        <v>4</v>
      </c>
      <c r="B180" s="1">
        <v>28185</v>
      </c>
      <c r="C180">
        <v>30031779</v>
      </c>
    </row>
    <row r="181" spans="1:3" x14ac:dyDescent="0.25">
      <c r="A181" t="s">
        <v>3</v>
      </c>
      <c r="B181" s="1">
        <v>28185</v>
      </c>
      <c r="C181">
        <v>1016581.03</v>
      </c>
    </row>
    <row r="182" spans="1:3" x14ac:dyDescent="0.25">
      <c r="A182" t="s">
        <v>4</v>
      </c>
      <c r="B182" s="1">
        <v>28216</v>
      </c>
      <c r="C182">
        <v>9874635</v>
      </c>
    </row>
    <row r="183" spans="1:3" x14ac:dyDescent="0.25">
      <c r="A183" t="s">
        <v>3</v>
      </c>
      <c r="B183" s="1">
        <v>28216</v>
      </c>
      <c r="C183">
        <v>3026982</v>
      </c>
    </row>
    <row r="184" spans="1:3" x14ac:dyDescent="0.25">
      <c r="A184" t="s">
        <v>3</v>
      </c>
      <c r="B184" s="1">
        <v>28246</v>
      </c>
      <c r="C184">
        <v>5019968.99</v>
      </c>
    </row>
    <row r="185" spans="1:3" x14ac:dyDescent="0.25">
      <c r="A185" t="s">
        <v>5</v>
      </c>
      <c r="B185" s="1">
        <v>28277</v>
      </c>
      <c r="C185">
        <v>34007.11</v>
      </c>
    </row>
    <row r="186" spans="1:3" x14ac:dyDescent="0.25">
      <c r="A186" t="s">
        <v>3</v>
      </c>
      <c r="B186" s="1">
        <v>28277</v>
      </c>
      <c r="C186">
        <v>7916770.9500000002</v>
      </c>
    </row>
    <row r="187" spans="1:3" x14ac:dyDescent="0.25">
      <c r="A187" t="s">
        <v>3</v>
      </c>
      <c r="B187" s="1">
        <v>28307</v>
      </c>
      <c r="C187">
        <v>1916</v>
      </c>
    </row>
    <row r="188" spans="1:3" x14ac:dyDescent="0.25">
      <c r="A188" t="s">
        <v>3</v>
      </c>
      <c r="B188" s="1">
        <v>28369</v>
      </c>
      <c r="C188">
        <v>7121640.0099999998</v>
      </c>
    </row>
    <row r="189" spans="1:3" x14ac:dyDescent="0.25">
      <c r="A189" t="s">
        <v>5</v>
      </c>
      <c r="B189" s="1">
        <v>28369</v>
      </c>
      <c r="C189">
        <v>85445</v>
      </c>
    </row>
    <row r="190" spans="1:3" x14ac:dyDescent="0.25">
      <c r="A190" t="s">
        <v>3</v>
      </c>
      <c r="B190" s="1">
        <v>28430</v>
      </c>
      <c r="C190">
        <v>2997170.01</v>
      </c>
    </row>
    <row r="191" spans="1:3" x14ac:dyDescent="0.25">
      <c r="A191" t="s">
        <v>4</v>
      </c>
      <c r="B191" s="1">
        <v>28430</v>
      </c>
      <c r="C191">
        <v>5314496</v>
      </c>
    </row>
    <row r="192" spans="1:3" x14ac:dyDescent="0.25">
      <c r="A192" t="s">
        <v>3</v>
      </c>
      <c r="B192" s="1">
        <v>28460</v>
      </c>
      <c r="C192">
        <v>1589431</v>
      </c>
    </row>
    <row r="193" spans="1:3" x14ac:dyDescent="0.25">
      <c r="A193" t="s">
        <v>3</v>
      </c>
      <c r="B193" s="1">
        <v>28522</v>
      </c>
      <c r="C193">
        <v>1341929.01</v>
      </c>
    </row>
    <row r="194" spans="1:3" x14ac:dyDescent="0.25">
      <c r="A194" t="s">
        <v>5</v>
      </c>
      <c r="B194" s="1">
        <v>28581</v>
      </c>
      <c r="C194">
        <v>1136811</v>
      </c>
    </row>
    <row r="195" spans="1:3" x14ac:dyDescent="0.25">
      <c r="A195" t="s">
        <v>3</v>
      </c>
      <c r="B195" s="1">
        <v>28611</v>
      </c>
      <c r="C195">
        <v>4232797.01</v>
      </c>
    </row>
    <row r="196" spans="1:3" x14ac:dyDescent="0.25">
      <c r="A196" t="s">
        <v>3</v>
      </c>
      <c r="B196" s="1">
        <v>28642</v>
      </c>
      <c r="C196">
        <v>8732</v>
      </c>
    </row>
    <row r="197" spans="1:3" x14ac:dyDescent="0.25">
      <c r="A197" t="s">
        <v>3</v>
      </c>
      <c r="B197" s="1">
        <v>28672</v>
      </c>
      <c r="C197">
        <v>255577.31</v>
      </c>
    </row>
    <row r="198" spans="1:3" x14ac:dyDescent="0.25">
      <c r="A198" t="s">
        <v>5</v>
      </c>
      <c r="B198" s="1">
        <v>28672</v>
      </c>
      <c r="C198">
        <v>113157.61</v>
      </c>
    </row>
    <row r="199" spans="1:3" x14ac:dyDescent="0.25">
      <c r="A199" t="s">
        <v>5</v>
      </c>
      <c r="B199" s="1">
        <v>28703</v>
      </c>
      <c r="C199">
        <v>132915</v>
      </c>
    </row>
    <row r="200" spans="1:3" x14ac:dyDescent="0.25">
      <c r="A200" t="s">
        <v>3</v>
      </c>
      <c r="B200" s="1">
        <v>28734</v>
      </c>
      <c r="C200">
        <v>1169798</v>
      </c>
    </row>
    <row r="201" spans="1:3" x14ac:dyDescent="0.25">
      <c r="A201" t="s">
        <v>3</v>
      </c>
      <c r="B201" s="1">
        <v>28764</v>
      </c>
      <c r="C201">
        <v>1155688</v>
      </c>
    </row>
    <row r="202" spans="1:3" x14ac:dyDescent="0.25">
      <c r="A202" t="s">
        <v>5</v>
      </c>
      <c r="B202" s="1">
        <v>28764</v>
      </c>
      <c r="C202">
        <v>7241</v>
      </c>
    </row>
    <row r="203" spans="1:3" x14ac:dyDescent="0.25">
      <c r="A203" t="s">
        <v>3</v>
      </c>
      <c r="B203" s="1">
        <v>28795</v>
      </c>
      <c r="C203">
        <v>1633</v>
      </c>
    </row>
    <row r="204" spans="1:3" x14ac:dyDescent="0.25">
      <c r="A204" t="s">
        <v>5</v>
      </c>
      <c r="B204" s="1">
        <v>28825</v>
      </c>
      <c r="C204">
        <v>113386</v>
      </c>
    </row>
    <row r="205" spans="1:3" x14ac:dyDescent="0.25">
      <c r="A205" t="s">
        <v>3</v>
      </c>
      <c r="B205" s="1">
        <v>28946</v>
      </c>
      <c r="C205">
        <v>7178281.0099999998</v>
      </c>
    </row>
    <row r="206" spans="1:3" x14ac:dyDescent="0.25">
      <c r="A206" t="s">
        <v>3</v>
      </c>
      <c r="B206" s="1">
        <v>29007</v>
      </c>
      <c r="C206">
        <v>65158.38</v>
      </c>
    </row>
    <row r="207" spans="1:3" x14ac:dyDescent="0.25">
      <c r="A207" t="s">
        <v>5</v>
      </c>
      <c r="B207" s="1">
        <v>29007</v>
      </c>
      <c r="C207">
        <v>445956.65</v>
      </c>
    </row>
    <row r="208" spans="1:3" x14ac:dyDescent="0.25">
      <c r="A208" t="s">
        <v>3</v>
      </c>
      <c r="B208" s="1">
        <v>29037</v>
      </c>
      <c r="C208">
        <v>777167</v>
      </c>
    </row>
    <row r="209" spans="1:3" x14ac:dyDescent="0.25">
      <c r="A209" t="s">
        <v>5</v>
      </c>
      <c r="B209" s="1">
        <v>29037</v>
      </c>
      <c r="C209">
        <v>1136659</v>
      </c>
    </row>
    <row r="210" spans="1:3" x14ac:dyDescent="0.25">
      <c r="A210" t="s">
        <v>5</v>
      </c>
      <c r="B210" s="1">
        <v>29068</v>
      </c>
      <c r="C210">
        <v>1042800</v>
      </c>
    </row>
    <row r="211" spans="1:3" x14ac:dyDescent="0.25">
      <c r="A211" t="s">
        <v>4</v>
      </c>
      <c r="B211" s="1">
        <v>29099</v>
      </c>
      <c r="C211">
        <v>9310185</v>
      </c>
    </row>
    <row r="212" spans="1:3" x14ac:dyDescent="0.25">
      <c r="A212" t="s">
        <v>3</v>
      </c>
      <c r="B212" s="1">
        <v>29160</v>
      </c>
      <c r="C212">
        <v>5419406</v>
      </c>
    </row>
    <row r="213" spans="1:3" x14ac:dyDescent="0.25">
      <c r="A213" t="s">
        <v>3</v>
      </c>
      <c r="B213" s="1">
        <v>29190</v>
      </c>
      <c r="C213">
        <v>3223231.01</v>
      </c>
    </row>
    <row r="214" spans="1:3" x14ac:dyDescent="0.25">
      <c r="A214" t="s">
        <v>5</v>
      </c>
      <c r="B214" s="1">
        <v>29221</v>
      </c>
      <c r="C214">
        <v>35489</v>
      </c>
    </row>
    <row r="215" spans="1:3" x14ac:dyDescent="0.25">
      <c r="A215" t="s">
        <v>4</v>
      </c>
      <c r="B215" s="1">
        <v>29221</v>
      </c>
      <c r="C215">
        <v>61130.19</v>
      </c>
    </row>
    <row r="216" spans="1:3" x14ac:dyDescent="0.25">
      <c r="A216" t="s">
        <v>3</v>
      </c>
      <c r="B216" s="1">
        <v>29221</v>
      </c>
      <c r="C216">
        <v>2403566.81</v>
      </c>
    </row>
    <row r="217" spans="1:3" x14ac:dyDescent="0.25">
      <c r="A217" t="s">
        <v>5</v>
      </c>
      <c r="B217" s="1">
        <v>29252</v>
      </c>
      <c r="C217">
        <v>108472</v>
      </c>
    </row>
    <row r="218" spans="1:3" x14ac:dyDescent="0.25">
      <c r="A218" t="s">
        <v>4</v>
      </c>
      <c r="B218" s="1">
        <v>29281</v>
      </c>
      <c r="C218">
        <v>9622099</v>
      </c>
    </row>
    <row r="219" spans="1:3" x14ac:dyDescent="0.25">
      <c r="A219" t="s">
        <v>3</v>
      </c>
      <c r="B219" s="1">
        <v>29342</v>
      </c>
      <c r="C219">
        <v>4584046.4400000004</v>
      </c>
    </row>
    <row r="220" spans="1:3" x14ac:dyDescent="0.25">
      <c r="A220" t="s">
        <v>5</v>
      </c>
      <c r="B220" s="1">
        <v>29342</v>
      </c>
      <c r="C220">
        <v>309050.84000000003</v>
      </c>
    </row>
    <row r="221" spans="1:3" x14ac:dyDescent="0.25">
      <c r="A221" t="s">
        <v>3</v>
      </c>
      <c r="B221" s="1">
        <v>29373</v>
      </c>
      <c r="C221">
        <v>1454155</v>
      </c>
    </row>
    <row r="222" spans="1:3" x14ac:dyDescent="0.25">
      <c r="A222" t="s">
        <v>5</v>
      </c>
      <c r="B222" s="1">
        <v>29373</v>
      </c>
      <c r="C222">
        <v>-49889</v>
      </c>
    </row>
    <row r="223" spans="1:3" x14ac:dyDescent="0.25">
      <c r="A223" t="s">
        <v>3</v>
      </c>
      <c r="B223" s="1">
        <v>29434</v>
      </c>
      <c r="C223">
        <v>5856.43</v>
      </c>
    </row>
    <row r="224" spans="1:3" x14ac:dyDescent="0.25">
      <c r="A224" t="s">
        <v>4</v>
      </c>
      <c r="B224" s="1">
        <v>29434</v>
      </c>
      <c r="C224">
        <v>125892.58</v>
      </c>
    </row>
    <row r="225" spans="1:3" x14ac:dyDescent="0.25">
      <c r="A225" t="s">
        <v>3</v>
      </c>
      <c r="B225" s="1">
        <v>29465</v>
      </c>
      <c r="C225">
        <v>10450257.039999999</v>
      </c>
    </row>
    <row r="226" spans="1:3" x14ac:dyDescent="0.25">
      <c r="A226" t="s">
        <v>3</v>
      </c>
      <c r="B226" s="1">
        <v>29495</v>
      </c>
      <c r="C226">
        <v>2000345.99</v>
      </c>
    </row>
    <row r="227" spans="1:3" x14ac:dyDescent="0.25">
      <c r="A227" t="s">
        <v>5</v>
      </c>
      <c r="B227" s="1">
        <v>29556</v>
      </c>
      <c r="C227">
        <v>232186.82</v>
      </c>
    </row>
    <row r="228" spans="1:3" x14ac:dyDescent="0.25">
      <c r="A228" t="s">
        <v>3</v>
      </c>
      <c r="B228" s="1">
        <v>29556</v>
      </c>
      <c r="C228">
        <v>4109068.22</v>
      </c>
    </row>
    <row r="229" spans="1:3" x14ac:dyDescent="0.25">
      <c r="A229" t="s">
        <v>5</v>
      </c>
      <c r="B229" s="1">
        <v>29587</v>
      </c>
      <c r="C229">
        <v>17870</v>
      </c>
    </row>
    <row r="230" spans="1:3" x14ac:dyDescent="0.25">
      <c r="A230" t="s">
        <v>3</v>
      </c>
      <c r="B230" s="1">
        <v>29587</v>
      </c>
      <c r="C230">
        <v>127753</v>
      </c>
    </row>
    <row r="231" spans="1:3" x14ac:dyDescent="0.25">
      <c r="A231" t="s">
        <v>3</v>
      </c>
      <c r="B231" s="1">
        <v>29707</v>
      </c>
      <c r="C231">
        <v>4191991.06</v>
      </c>
    </row>
    <row r="232" spans="1:3" x14ac:dyDescent="0.25">
      <c r="A232" t="s">
        <v>4</v>
      </c>
      <c r="B232" s="1">
        <v>29768</v>
      </c>
      <c r="C232">
        <v>10334608</v>
      </c>
    </row>
    <row r="233" spans="1:3" x14ac:dyDescent="0.25">
      <c r="A233" t="s">
        <v>5</v>
      </c>
      <c r="B233" s="1">
        <v>29799</v>
      </c>
      <c r="C233">
        <v>3353.69</v>
      </c>
    </row>
    <row r="234" spans="1:3" x14ac:dyDescent="0.25">
      <c r="A234" t="s">
        <v>3</v>
      </c>
      <c r="B234" s="1">
        <v>29799</v>
      </c>
      <c r="C234">
        <v>2457299.33</v>
      </c>
    </row>
    <row r="235" spans="1:3" x14ac:dyDescent="0.25">
      <c r="A235" t="s">
        <v>3</v>
      </c>
      <c r="B235" s="1">
        <v>29830</v>
      </c>
      <c r="C235">
        <v>780880</v>
      </c>
    </row>
    <row r="236" spans="1:3" x14ac:dyDescent="0.25">
      <c r="A236" t="s">
        <v>4</v>
      </c>
      <c r="B236" s="1">
        <v>29860</v>
      </c>
      <c r="C236">
        <v>12693758</v>
      </c>
    </row>
    <row r="237" spans="1:3" x14ac:dyDescent="0.25">
      <c r="A237" t="s">
        <v>3</v>
      </c>
      <c r="B237" s="1">
        <v>29860</v>
      </c>
      <c r="C237">
        <v>0</v>
      </c>
    </row>
    <row r="238" spans="1:3" x14ac:dyDescent="0.25">
      <c r="A238" t="s">
        <v>3</v>
      </c>
      <c r="B238" s="1">
        <v>29891</v>
      </c>
      <c r="C238">
        <v>3623997.02</v>
      </c>
    </row>
    <row r="239" spans="1:3" x14ac:dyDescent="0.25">
      <c r="A239" t="s">
        <v>3</v>
      </c>
      <c r="B239" s="1">
        <v>29921</v>
      </c>
      <c r="C239">
        <v>31288.33</v>
      </c>
    </row>
    <row r="240" spans="1:3" x14ac:dyDescent="0.25">
      <c r="A240" t="s">
        <v>5</v>
      </c>
      <c r="B240" s="1">
        <v>29921</v>
      </c>
      <c r="C240">
        <v>4194</v>
      </c>
    </row>
    <row r="241" spans="1:3" x14ac:dyDescent="0.25">
      <c r="A241" t="s">
        <v>5</v>
      </c>
      <c r="B241" s="1">
        <v>29952</v>
      </c>
      <c r="C241">
        <v>151786.72</v>
      </c>
    </row>
    <row r="242" spans="1:3" x14ac:dyDescent="0.25">
      <c r="A242" t="s">
        <v>3</v>
      </c>
      <c r="B242" s="1">
        <v>29952</v>
      </c>
      <c r="C242">
        <v>6288341.21</v>
      </c>
    </row>
    <row r="243" spans="1:3" x14ac:dyDescent="0.25">
      <c r="A243" t="s">
        <v>4</v>
      </c>
      <c r="B243" s="1">
        <v>29952</v>
      </c>
      <c r="C243">
        <v>0</v>
      </c>
    </row>
    <row r="244" spans="1:3" x14ac:dyDescent="0.25">
      <c r="A244" t="s">
        <v>3</v>
      </c>
      <c r="B244" s="1">
        <v>30011</v>
      </c>
      <c r="C244">
        <v>2385480.0099999998</v>
      </c>
    </row>
    <row r="245" spans="1:3" x14ac:dyDescent="0.25">
      <c r="A245" t="s">
        <v>3</v>
      </c>
      <c r="B245" s="1">
        <v>30042</v>
      </c>
      <c r="C245">
        <v>526863.02</v>
      </c>
    </row>
    <row r="246" spans="1:3" x14ac:dyDescent="0.25">
      <c r="A246" t="s">
        <v>3</v>
      </c>
      <c r="B246" s="1">
        <v>30072</v>
      </c>
      <c r="C246">
        <v>5041510.03</v>
      </c>
    </row>
    <row r="247" spans="1:3" x14ac:dyDescent="0.25">
      <c r="A247" t="s">
        <v>4</v>
      </c>
      <c r="B247" s="1">
        <v>30103</v>
      </c>
      <c r="C247">
        <v>12504418</v>
      </c>
    </row>
    <row r="248" spans="1:3" x14ac:dyDescent="0.25">
      <c r="A248" t="s">
        <v>3</v>
      </c>
      <c r="B248" s="1">
        <v>30133</v>
      </c>
      <c r="C248">
        <v>42423.22</v>
      </c>
    </row>
    <row r="249" spans="1:3" x14ac:dyDescent="0.25">
      <c r="A249" t="s">
        <v>5</v>
      </c>
      <c r="B249" s="1">
        <v>30164</v>
      </c>
      <c r="C249">
        <v>57872</v>
      </c>
    </row>
    <row r="250" spans="1:3" x14ac:dyDescent="0.25">
      <c r="A250" t="s">
        <v>3</v>
      </c>
      <c r="B250" s="1">
        <v>30195</v>
      </c>
      <c r="C250">
        <v>5057864.0199999996</v>
      </c>
    </row>
    <row r="251" spans="1:3" x14ac:dyDescent="0.25">
      <c r="A251" t="s">
        <v>3</v>
      </c>
      <c r="B251" s="1">
        <v>30225</v>
      </c>
      <c r="C251">
        <v>5183939.01</v>
      </c>
    </row>
    <row r="252" spans="1:3" x14ac:dyDescent="0.25">
      <c r="A252" t="s">
        <v>5</v>
      </c>
      <c r="B252" s="1">
        <v>30225</v>
      </c>
      <c r="C252">
        <v>2282778</v>
      </c>
    </row>
    <row r="253" spans="1:3" x14ac:dyDescent="0.25">
      <c r="A253" t="s">
        <v>3</v>
      </c>
      <c r="B253" s="1">
        <v>30256</v>
      </c>
      <c r="C253">
        <v>7073089.7999999998</v>
      </c>
    </row>
    <row r="254" spans="1:3" x14ac:dyDescent="0.25">
      <c r="A254" t="s">
        <v>5</v>
      </c>
      <c r="B254" s="1">
        <v>30286</v>
      </c>
      <c r="C254">
        <v>7496</v>
      </c>
    </row>
    <row r="255" spans="1:3" x14ac:dyDescent="0.25">
      <c r="A255" t="s">
        <v>3</v>
      </c>
      <c r="B255" s="1">
        <v>30376</v>
      </c>
      <c r="C255">
        <v>842590.01</v>
      </c>
    </row>
    <row r="256" spans="1:3" x14ac:dyDescent="0.25">
      <c r="A256" t="s">
        <v>3</v>
      </c>
      <c r="B256" s="1">
        <v>30407</v>
      </c>
      <c r="C256">
        <v>1335099.01</v>
      </c>
    </row>
    <row r="257" spans="1:3" x14ac:dyDescent="0.25">
      <c r="A257" t="s">
        <v>5</v>
      </c>
      <c r="B257" s="1">
        <v>30437</v>
      </c>
      <c r="C257">
        <v>0</v>
      </c>
    </row>
    <row r="258" spans="1:3" x14ac:dyDescent="0.25">
      <c r="A258" t="s">
        <v>3</v>
      </c>
      <c r="B258" s="1">
        <v>30437</v>
      </c>
      <c r="C258">
        <v>3711320.01</v>
      </c>
    </row>
    <row r="259" spans="1:3" x14ac:dyDescent="0.25">
      <c r="A259" t="s">
        <v>4</v>
      </c>
      <c r="B259" s="1">
        <v>30468</v>
      </c>
      <c r="C259">
        <v>10887404</v>
      </c>
    </row>
    <row r="260" spans="1:3" x14ac:dyDescent="0.25">
      <c r="A260" t="s">
        <v>3</v>
      </c>
      <c r="B260" s="1">
        <v>30468</v>
      </c>
      <c r="C260">
        <v>3048960.76</v>
      </c>
    </row>
    <row r="261" spans="1:3" x14ac:dyDescent="0.25">
      <c r="A261" t="s">
        <v>5</v>
      </c>
      <c r="B261" s="1">
        <v>30468</v>
      </c>
      <c r="C261">
        <v>7992</v>
      </c>
    </row>
    <row r="262" spans="1:3" x14ac:dyDescent="0.25">
      <c r="A262" t="s">
        <v>3</v>
      </c>
      <c r="B262" s="1">
        <v>30529</v>
      </c>
      <c r="C262">
        <v>1103540</v>
      </c>
    </row>
    <row r="263" spans="1:3" x14ac:dyDescent="0.25">
      <c r="A263" t="s">
        <v>3</v>
      </c>
      <c r="B263" s="1">
        <v>30560</v>
      </c>
      <c r="C263">
        <v>3300112</v>
      </c>
    </row>
    <row r="264" spans="1:3" x14ac:dyDescent="0.25">
      <c r="A264" t="s">
        <v>5</v>
      </c>
      <c r="B264" s="1">
        <v>30560</v>
      </c>
      <c r="C264">
        <v>6884</v>
      </c>
    </row>
    <row r="265" spans="1:3" x14ac:dyDescent="0.25">
      <c r="A265" t="s">
        <v>3</v>
      </c>
      <c r="B265" s="1">
        <v>30590</v>
      </c>
      <c r="C265">
        <v>2560263.9900000002</v>
      </c>
    </row>
    <row r="266" spans="1:3" x14ac:dyDescent="0.25">
      <c r="A266" t="s">
        <v>3</v>
      </c>
      <c r="B266" s="1">
        <v>30621</v>
      </c>
      <c r="C266">
        <v>95744.03</v>
      </c>
    </row>
    <row r="267" spans="1:3" x14ac:dyDescent="0.25">
      <c r="A267" t="s">
        <v>4</v>
      </c>
      <c r="B267" s="1">
        <v>30621</v>
      </c>
      <c r="C267">
        <v>4</v>
      </c>
    </row>
    <row r="268" spans="1:3" x14ac:dyDescent="0.25">
      <c r="A268" t="s">
        <v>3</v>
      </c>
      <c r="B268" s="1">
        <v>30651</v>
      </c>
      <c r="C268">
        <v>55.98</v>
      </c>
    </row>
    <row r="269" spans="1:3" x14ac:dyDescent="0.25">
      <c r="A269" t="s">
        <v>4</v>
      </c>
      <c r="B269" s="1">
        <v>30682</v>
      </c>
      <c r="C269">
        <v>4619596</v>
      </c>
    </row>
    <row r="270" spans="1:3" x14ac:dyDescent="0.25">
      <c r="A270" t="s">
        <v>5</v>
      </c>
      <c r="B270" s="1">
        <v>30713</v>
      </c>
      <c r="C270">
        <v>-1711</v>
      </c>
    </row>
    <row r="271" spans="1:3" x14ac:dyDescent="0.25">
      <c r="A271" t="s">
        <v>5</v>
      </c>
      <c r="B271" s="1">
        <v>30742</v>
      </c>
      <c r="C271">
        <v>316357</v>
      </c>
    </row>
    <row r="272" spans="1:3" x14ac:dyDescent="0.25">
      <c r="A272" t="s">
        <v>4</v>
      </c>
      <c r="B272" s="1">
        <v>30742</v>
      </c>
      <c r="C272">
        <v>12320079</v>
      </c>
    </row>
    <row r="273" spans="1:3" x14ac:dyDescent="0.25">
      <c r="A273" t="s">
        <v>5</v>
      </c>
      <c r="B273" s="1">
        <v>30773</v>
      </c>
      <c r="C273">
        <v>12040879</v>
      </c>
    </row>
    <row r="274" spans="1:3" x14ac:dyDescent="0.25">
      <c r="A274" t="s">
        <v>5</v>
      </c>
      <c r="B274" s="1">
        <v>30834</v>
      </c>
      <c r="C274">
        <v>-155245.16</v>
      </c>
    </row>
    <row r="275" spans="1:3" x14ac:dyDescent="0.25">
      <c r="A275" t="s">
        <v>3</v>
      </c>
      <c r="B275" s="1">
        <v>30834</v>
      </c>
      <c r="C275">
        <v>1431471.14</v>
      </c>
    </row>
    <row r="276" spans="1:3" x14ac:dyDescent="0.25">
      <c r="A276" t="s">
        <v>3</v>
      </c>
      <c r="B276" s="1">
        <v>30864</v>
      </c>
      <c r="C276">
        <v>317298.53999999998</v>
      </c>
    </row>
    <row r="277" spans="1:3" x14ac:dyDescent="0.25">
      <c r="A277" t="s">
        <v>5</v>
      </c>
      <c r="B277" s="1">
        <v>30864</v>
      </c>
      <c r="C277">
        <v>286221.55</v>
      </c>
    </row>
    <row r="278" spans="1:3" x14ac:dyDescent="0.25">
      <c r="A278" t="s">
        <v>3</v>
      </c>
      <c r="B278" s="1">
        <v>30895</v>
      </c>
      <c r="C278">
        <v>7083536.0099999998</v>
      </c>
    </row>
    <row r="279" spans="1:3" x14ac:dyDescent="0.25">
      <c r="A279" t="s">
        <v>3</v>
      </c>
      <c r="B279" s="1">
        <v>30926</v>
      </c>
      <c r="C279">
        <v>1937571.47</v>
      </c>
    </row>
    <row r="280" spans="1:3" x14ac:dyDescent="0.25">
      <c r="A280" t="s">
        <v>5</v>
      </c>
      <c r="B280" s="1">
        <v>30926</v>
      </c>
      <c r="C280">
        <v>251278.96</v>
      </c>
    </row>
    <row r="281" spans="1:3" x14ac:dyDescent="0.25">
      <c r="A281" t="s">
        <v>4</v>
      </c>
      <c r="B281" s="1">
        <v>30926</v>
      </c>
      <c r="C281">
        <v>21641.59</v>
      </c>
    </row>
    <row r="282" spans="1:3" x14ac:dyDescent="0.25">
      <c r="A282" t="s">
        <v>3</v>
      </c>
      <c r="B282" s="1">
        <v>30956</v>
      </c>
      <c r="C282">
        <v>2908153.07</v>
      </c>
    </row>
    <row r="283" spans="1:3" x14ac:dyDescent="0.25">
      <c r="A283" t="s">
        <v>4</v>
      </c>
      <c r="B283" s="1">
        <v>30956</v>
      </c>
      <c r="C283">
        <v>12924757</v>
      </c>
    </row>
    <row r="284" spans="1:3" x14ac:dyDescent="0.25">
      <c r="A284" t="s">
        <v>5</v>
      </c>
      <c r="B284" s="1">
        <v>30987</v>
      </c>
      <c r="C284">
        <v>33444</v>
      </c>
    </row>
    <row r="285" spans="1:3" x14ac:dyDescent="0.25">
      <c r="A285" t="s">
        <v>4</v>
      </c>
      <c r="B285" s="1">
        <v>31017</v>
      </c>
      <c r="C285">
        <v>12070751</v>
      </c>
    </row>
    <row r="286" spans="1:3" x14ac:dyDescent="0.25">
      <c r="A286" t="s">
        <v>3</v>
      </c>
      <c r="B286" s="1">
        <v>31017</v>
      </c>
      <c r="C286">
        <v>2773182</v>
      </c>
    </row>
    <row r="287" spans="1:3" x14ac:dyDescent="0.25">
      <c r="A287" t="s">
        <v>3</v>
      </c>
      <c r="B287" s="1">
        <v>31048</v>
      </c>
      <c r="C287">
        <v>2850155.01</v>
      </c>
    </row>
    <row r="288" spans="1:3" x14ac:dyDescent="0.25">
      <c r="A288" t="s">
        <v>5</v>
      </c>
      <c r="B288" s="1">
        <v>31048</v>
      </c>
      <c r="C288">
        <v>20244</v>
      </c>
    </row>
    <row r="289" spans="1:3" x14ac:dyDescent="0.25">
      <c r="A289" t="s">
        <v>4</v>
      </c>
      <c r="B289" s="1">
        <v>31079</v>
      </c>
      <c r="C289">
        <v>12522697</v>
      </c>
    </row>
    <row r="290" spans="1:3" x14ac:dyDescent="0.25">
      <c r="A290" t="s">
        <v>3</v>
      </c>
      <c r="B290" s="1">
        <v>31107</v>
      </c>
      <c r="C290">
        <v>1219483</v>
      </c>
    </row>
    <row r="291" spans="1:3" x14ac:dyDescent="0.25">
      <c r="A291" t="s">
        <v>3</v>
      </c>
      <c r="B291" s="1">
        <v>31168</v>
      </c>
      <c r="C291">
        <v>635781.04</v>
      </c>
    </row>
    <row r="292" spans="1:3" x14ac:dyDescent="0.25">
      <c r="A292" t="s">
        <v>5</v>
      </c>
      <c r="B292" s="1">
        <v>31199</v>
      </c>
      <c r="C292">
        <v>8416</v>
      </c>
    </row>
    <row r="293" spans="1:3" x14ac:dyDescent="0.25">
      <c r="A293" t="s">
        <v>4</v>
      </c>
      <c r="B293" s="1">
        <v>31199</v>
      </c>
      <c r="C293">
        <v>91840.02</v>
      </c>
    </row>
    <row r="294" spans="1:3" x14ac:dyDescent="0.25">
      <c r="A294" t="s">
        <v>3</v>
      </c>
      <c r="B294" s="1">
        <v>31229</v>
      </c>
      <c r="C294">
        <v>177593</v>
      </c>
    </row>
    <row r="295" spans="1:3" x14ac:dyDescent="0.25">
      <c r="A295" t="s">
        <v>4</v>
      </c>
      <c r="B295" s="1">
        <v>31229</v>
      </c>
      <c r="C295">
        <v>8163610</v>
      </c>
    </row>
    <row r="296" spans="1:3" x14ac:dyDescent="0.25">
      <c r="A296" t="s">
        <v>5</v>
      </c>
      <c r="B296" s="1">
        <v>31260</v>
      </c>
      <c r="C296">
        <v>15746.39</v>
      </c>
    </row>
    <row r="297" spans="1:3" x14ac:dyDescent="0.25">
      <c r="A297" t="s">
        <v>3</v>
      </c>
      <c r="B297" s="1">
        <v>31260</v>
      </c>
      <c r="C297">
        <v>147.61000000000001</v>
      </c>
    </row>
    <row r="298" spans="1:3" x14ac:dyDescent="0.25">
      <c r="A298" t="s">
        <v>4</v>
      </c>
      <c r="B298" s="1">
        <v>31260</v>
      </c>
      <c r="C298">
        <v>147622</v>
      </c>
    </row>
    <row r="299" spans="1:3" x14ac:dyDescent="0.25">
      <c r="A299" t="s">
        <v>3</v>
      </c>
      <c r="B299" s="1">
        <v>31321</v>
      </c>
      <c r="C299">
        <v>126396.05</v>
      </c>
    </row>
    <row r="300" spans="1:3" x14ac:dyDescent="0.25">
      <c r="A300" t="s">
        <v>5</v>
      </c>
      <c r="B300" s="1">
        <v>31321</v>
      </c>
      <c r="C300">
        <v>3203129.97</v>
      </c>
    </row>
    <row r="301" spans="1:3" x14ac:dyDescent="0.25">
      <c r="A301" t="s">
        <v>5</v>
      </c>
      <c r="B301" s="1">
        <v>31382</v>
      </c>
      <c r="C301">
        <v>-747460</v>
      </c>
    </row>
    <row r="302" spans="1:3" x14ac:dyDescent="0.25">
      <c r="A302" t="s">
        <v>5</v>
      </c>
      <c r="B302" s="1">
        <v>31413</v>
      </c>
      <c r="C302">
        <v>0</v>
      </c>
    </row>
    <row r="303" spans="1:3" x14ac:dyDescent="0.25">
      <c r="A303" t="s">
        <v>4</v>
      </c>
      <c r="B303" s="1">
        <v>31444</v>
      </c>
      <c r="C303">
        <v>47548</v>
      </c>
    </row>
    <row r="304" spans="1:3" x14ac:dyDescent="0.25">
      <c r="A304" t="s">
        <v>3</v>
      </c>
      <c r="B304" s="1">
        <v>31444</v>
      </c>
      <c r="C304">
        <v>1002347</v>
      </c>
    </row>
    <row r="305" spans="1:3" x14ac:dyDescent="0.25">
      <c r="A305" t="s">
        <v>4</v>
      </c>
      <c r="B305" s="1">
        <v>31472</v>
      </c>
      <c r="C305">
        <v>12943488</v>
      </c>
    </row>
    <row r="306" spans="1:3" x14ac:dyDescent="0.25">
      <c r="A306" t="s">
        <v>3</v>
      </c>
      <c r="B306" s="1">
        <v>31472</v>
      </c>
      <c r="C306">
        <v>141507</v>
      </c>
    </row>
    <row r="307" spans="1:3" x14ac:dyDescent="0.25">
      <c r="A307" t="s">
        <v>4</v>
      </c>
      <c r="B307" s="1">
        <v>31503</v>
      </c>
      <c r="C307">
        <v>9611423.5600000005</v>
      </c>
    </row>
    <row r="308" spans="1:3" x14ac:dyDescent="0.25">
      <c r="A308" t="s">
        <v>5</v>
      </c>
      <c r="B308" s="1">
        <v>31533</v>
      </c>
      <c r="C308">
        <v>2155844</v>
      </c>
    </row>
    <row r="309" spans="1:3" x14ac:dyDescent="0.25">
      <c r="A309" t="s">
        <v>5</v>
      </c>
      <c r="B309" s="1">
        <v>31564</v>
      </c>
      <c r="C309">
        <v>0</v>
      </c>
    </row>
    <row r="310" spans="1:3" x14ac:dyDescent="0.25">
      <c r="A310" t="s">
        <v>3</v>
      </c>
      <c r="B310" s="1">
        <v>31564</v>
      </c>
      <c r="C310">
        <v>221.16</v>
      </c>
    </row>
    <row r="311" spans="1:3" x14ac:dyDescent="0.25">
      <c r="A311" t="s">
        <v>4</v>
      </c>
      <c r="B311" s="1">
        <v>31564</v>
      </c>
      <c r="C311">
        <v>2395457</v>
      </c>
    </row>
    <row r="312" spans="1:3" x14ac:dyDescent="0.25">
      <c r="A312" t="s">
        <v>3</v>
      </c>
      <c r="B312" s="1">
        <v>31594</v>
      </c>
      <c r="C312">
        <v>3205846.02</v>
      </c>
    </row>
    <row r="313" spans="1:3" x14ac:dyDescent="0.25">
      <c r="A313" t="s">
        <v>5</v>
      </c>
      <c r="B313" s="1">
        <v>31625</v>
      </c>
      <c r="C313">
        <v>5968</v>
      </c>
    </row>
    <row r="314" spans="1:3" x14ac:dyDescent="0.25">
      <c r="A314" t="s">
        <v>3</v>
      </c>
      <c r="B314" s="1">
        <v>31625</v>
      </c>
      <c r="C314">
        <v>1228232.6499999999</v>
      </c>
    </row>
    <row r="315" spans="1:3" x14ac:dyDescent="0.25">
      <c r="A315" t="s">
        <v>4</v>
      </c>
      <c r="B315" s="1">
        <v>31625</v>
      </c>
      <c r="C315">
        <v>12420982.390000001</v>
      </c>
    </row>
    <row r="316" spans="1:3" x14ac:dyDescent="0.25">
      <c r="A316" t="s">
        <v>5</v>
      </c>
      <c r="B316" s="1">
        <v>31686</v>
      </c>
      <c r="C316">
        <v>201803</v>
      </c>
    </row>
    <row r="317" spans="1:3" x14ac:dyDescent="0.25">
      <c r="A317" t="s">
        <v>3</v>
      </c>
      <c r="B317" s="1">
        <v>31747</v>
      </c>
      <c r="C317">
        <v>4174990.01</v>
      </c>
    </row>
    <row r="318" spans="1:3" x14ac:dyDescent="0.25">
      <c r="A318" t="s">
        <v>4</v>
      </c>
      <c r="B318" s="1">
        <v>31747</v>
      </c>
      <c r="C318">
        <v>6774471</v>
      </c>
    </row>
    <row r="319" spans="1:3" x14ac:dyDescent="0.25">
      <c r="A319" t="s">
        <v>3</v>
      </c>
      <c r="B319" s="1">
        <v>31778</v>
      </c>
      <c r="C319">
        <v>4351926</v>
      </c>
    </row>
    <row r="320" spans="1:3" x14ac:dyDescent="0.25">
      <c r="A320" t="s">
        <v>5</v>
      </c>
      <c r="B320" s="1">
        <v>31778</v>
      </c>
      <c r="C320">
        <v>9665</v>
      </c>
    </row>
    <row r="321" spans="1:3" x14ac:dyDescent="0.25">
      <c r="A321" t="s">
        <v>3</v>
      </c>
      <c r="B321" s="1">
        <v>31809</v>
      </c>
      <c r="C321">
        <v>421981.72</v>
      </c>
    </row>
    <row r="322" spans="1:3" x14ac:dyDescent="0.25">
      <c r="A322" t="s">
        <v>5</v>
      </c>
      <c r="B322" s="1">
        <v>31837</v>
      </c>
      <c r="C322">
        <v>232748.07</v>
      </c>
    </row>
    <row r="323" spans="1:3" x14ac:dyDescent="0.25">
      <c r="A323" t="s">
        <v>3</v>
      </c>
      <c r="B323" s="1">
        <v>31837</v>
      </c>
      <c r="C323">
        <v>31874.12</v>
      </c>
    </row>
    <row r="324" spans="1:3" x14ac:dyDescent="0.25">
      <c r="A324" t="s">
        <v>4</v>
      </c>
      <c r="B324" s="1">
        <v>31898</v>
      </c>
      <c r="C324">
        <v>5787785</v>
      </c>
    </row>
    <row r="325" spans="1:3" x14ac:dyDescent="0.25">
      <c r="A325" t="s">
        <v>3</v>
      </c>
      <c r="B325" s="1">
        <v>31898</v>
      </c>
      <c r="C325">
        <v>4545210.54</v>
      </c>
    </row>
    <row r="326" spans="1:3" x14ac:dyDescent="0.25">
      <c r="A326" t="s">
        <v>5</v>
      </c>
      <c r="B326" s="1">
        <v>31898</v>
      </c>
      <c r="C326">
        <v>4380.47</v>
      </c>
    </row>
    <row r="327" spans="1:3" x14ac:dyDescent="0.25">
      <c r="A327" t="s">
        <v>3</v>
      </c>
      <c r="B327" s="1">
        <v>31929</v>
      </c>
      <c r="C327">
        <v>109234</v>
      </c>
    </row>
    <row r="328" spans="1:3" x14ac:dyDescent="0.25">
      <c r="A328" t="s">
        <v>4</v>
      </c>
      <c r="B328" s="1">
        <v>31959</v>
      </c>
      <c r="C328">
        <v>10247579</v>
      </c>
    </row>
    <row r="329" spans="1:3" x14ac:dyDescent="0.25">
      <c r="A329" t="s">
        <v>4</v>
      </c>
      <c r="B329" s="1">
        <v>31990</v>
      </c>
      <c r="C329">
        <v>13122808</v>
      </c>
    </row>
    <row r="330" spans="1:3" x14ac:dyDescent="0.25">
      <c r="A330" t="s">
        <v>4</v>
      </c>
      <c r="B330" s="1">
        <v>32021</v>
      </c>
      <c r="C330">
        <v>204726.01</v>
      </c>
    </row>
    <row r="331" spans="1:3" x14ac:dyDescent="0.25">
      <c r="A331" t="s">
        <v>5</v>
      </c>
      <c r="B331" s="1">
        <v>32021</v>
      </c>
      <c r="C331">
        <v>396815</v>
      </c>
    </row>
    <row r="332" spans="1:3" x14ac:dyDescent="0.25">
      <c r="A332" t="s">
        <v>3</v>
      </c>
      <c r="B332" s="1">
        <v>32021</v>
      </c>
      <c r="C332">
        <v>0</v>
      </c>
    </row>
    <row r="333" spans="1:3" x14ac:dyDescent="0.25">
      <c r="A333" t="s">
        <v>3</v>
      </c>
      <c r="B333" s="1">
        <v>32051</v>
      </c>
      <c r="C333">
        <v>3769924.41</v>
      </c>
    </row>
    <row r="334" spans="1:3" x14ac:dyDescent="0.25">
      <c r="A334" t="s">
        <v>4</v>
      </c>
      <c r="B334" s="1">
        <v>32051</v>
      </c>
      <c r="C334">
        <v>131506.65</v>
      </c>
    </row>
    <row r="335" spans="1:3" x14ac:dyDescent="0.25">
      <c r="A335" t="s">
        <v>4</v>
      </c>
      <c r="B335" s="1">
        <v>32082</v>
      </c>
      <c r="C335">
        <v>20003471.34</v>
      </c>
    </row>
    <row r="336" spans="1:3" x14ac:dyDescent="0.25">
      <c r="A336" t="s">
        <v>5</v>
      </c>
      <c r="B336" s="1">
        <v>32082</v>
      </c>
      <c r="C336">
        <v>190279</v>
      </c>
    </row>
    <row r="337" spans="1:3" x14ac:dyDescent="0.25">
      <c r="A337" t="s">
        <v>3</v>
      </c>
      <c r="B337" s="1">
        <v>32082</v>
      </c>
      <c r="C337">
        <v>103414.04</v>
      </c>
    </row>
    <row r="338" spans="1:3" x14ac:dyDescent="0.25">
      <c r="A338" t="s">
        <v>3</v>
      </c>
      <c r="B338" s="1">
        <v>32112</v>
      </c>
      <c r="C338">
        <v>348411</v>
      </c>
    </row>
    <row r="339" spans="1:3" x14ac:dyDescent="0.25">
      <c r="A339" t="s">
        <v>5</v>
      </c>
      <c r="B339" s="1">
        <v>32112</v>
      </c>
      <c r="C339">
        <v>-1140</v>
      </c>
    </row>
    <row r="340" spans="1:3" x14ac:dyDescent="0.25">
      <c r="A340" t="s">
        <v>5</v>
      </c>
      <c r="B340" s="1">
        <v>32143</v>
      </c>
      <c r="C340">
        <v>248212.66</v>
      </c>
    </row>
    <row r="341" spans="1:3" x14ac:dyDescent="0.25">
      <c r="A341" t="s">
        <v>3</v>
      </c>
      <c r="B341" s="1">
        <v>32143</v>
      </c>
      <c r="C341">
        <v>111461.99</v>
      </c>
    </row>
    <row r="342" spans="1:3" x14ac:dyDescent="0.25">
      <c r="A342" t="s">
        <v>4</v>
      </c>
      <c r="B342" s="1">
        <v>32143</v>
      </c>
      <c r="C342">
        <v>27323285</v>
      </c>
    </row>
    <row r="343" spans="1:3" x14ac:dyDescent="0.25">
      <c r="A343" t="s">
        <v>3</v>
      </c>
      <c r="B343" s="1">
        <v>32203</v>
      </c>
      <c r="C343">
        <v>1567714.53</v>
      </c>
    </row>
    <row r="344" spans="1:3" x14ac:dyDescent="0.25">
      <c r="A344" t="s">
        <v>5</v>
      </c>
      <c r="B344" s="1">
        <v>32203</v>
      </c>
      <c r="C344">
        <v>76755.47</v>
      </c>
    </row>
    <row r="345" spans="1:3" x14ac:dyDescent="0.25">
      <c r="A345" t="s">
        <v>3</v>
      </c>
      <c r="B345" s="1">
        <v>32264</v>
      </c>
      <c r="C345">
        <v>261447.02</v>
      </c>
    </row>
    <row r="346" spans="1:3" x14ac:dyDescent="0.25">
      <c r="A346" t="s">
        <v>5</v>
      </c>
      <c r="B346" s="1">
        <v>32295</v>
      </c>
      <c r="C346">
        <v>53826</v>
      </c>
    </row>
    <row r="347" spans="1:3" x14ac:dyDescent="0.25">
      <c r="A347" t="s">
        <v>3</v>
      </c>
      <c r="B347" s="1">
        <v>32295</v>
      </c>
      <c r="C347">
        <v>166381.82999999999</v>
      </c>
    </row>
    <row r="348" spans="1:3" x14ac:dyDescent="0.25">
      <c r="A348" t="s">
        <v>4</v>
      </c>
      <c r="B348" s="1">
        <v>32295</v>
      </c>
      <c r="C348">
        <v>51602.18</v>
      </c>
    </row>
    <row r="349" spans="1:3" x14ac:dyDescent="0.25">
      <c r="A349" t="s">
        <v>3</v>
      </c>
      <c r="B349" s="1">
        <v>32325</v>
      </c>
      <c r="C349">
        <v>11044.18</v>
      </c>
    </row>
    <row r="350" spans="1:3" x14ac:dyDescent="0.25">
      <c r="A350" t="s">
        <v>4</v>
      </c>
      <c r="B350" s="1">
        <v>32325</v>
      </c>
      <c r="C350">
        <v>404847.84</v>
      </c>
    </row>
    <row r="351" spans="1:3" x14ac:dyDescent="0.25">
      <c r="A351" t="s">
        <v>4</v>
      </c>
      <c r="B351" s="1">
        <v>32387</v>
      </c>
      <c r="C351">
        <v>48206.31</v>
      </c>
    </row>
    <row r="352" spans="1:3" x14ac:dyDescent="0.25">
      <c r="A352" t="s">
        <v>5</v>
      </c>
      <c r="B352" s="1">
        <v>32387</v>
      </c>
      <c r="C352">
        <v>4228</v>
      </c>
    </row>
    <row r="353" spans="1:3" x14ac:dyDescent="0.25">
      <c r="A353" t="s">
        <v>3</v>
      </c>
      <c r="B353" s="1">
        <v>32387</v>
      </c>
      <c r="C353">
        <v>2739.7</v>
      </c>
    </row>
    <row r="354" spans="1:3" x14ac:dyDescent="0.25">
      <c r="A354" t="s">
        <v>4</v>
      </c>
      <c r="B354" s="1">
        <v>32417</v>
      </c>
      <c r="C354">
        <v>13136694</v>
      </c>
    </row>
    <row r="355" spans="1:3" x14ac:dyDescent="0.25">
      <c r="A355" t="s">
        <v>5</v>
      </c>
      <c r="B355" s="1">
        <v>32448</v>
      </c>
      <c r="C355">
        <v>288488.28000000003</v>
      </c>
    </row>
    <row r="356" spans="1:3" x14ac:dyDescent="0.25">
      <c r="A356" t="s">
        <v>3</v>
      </c>
      <c r="B356" s="1">
        <v>32448</v>
      </c>
      <c r="C356">
        <v>123021.53</v>
      </c>
    </row>
    <row r="357" spans="1:3" x14ac:dyDescent="0.25">
      <c r="A357" t="s">
        <v>4</v>
      </c>
      <c r="B357" s="1">
        <v>32448</v>
      </c>
      <c r="C357">
        <v>2226</v>
      </c>
    </row>
    <row r="358" spans="1:3" x14ac:dyDescent="0.25">
      <c r="A358" t="s">
        <v>3</v>
      </c>
      <c r="B358" s="1">
        <v>32509</v>
      </c>
      <c r="C358">
        <v>-628.33000000000004</v>
      </c>
    </row>
    <row r="359" spans="1:3" x14ac:dyDescent="0.25">
      <c r="A359" t="s">
        <v>4</v>
      </c>
      <c r="B359" s="1">
        <v>32509</v>
      </c>
      <c r="C359">
        <v>62096.33</v>
      </c>
    </row>
    <row r="360" spans="1:3" x14ac:dyDescent="0.25">
      <c r="A360" t="s">
        <v>3</v>
      </c>
      <c r="B360" s="1">
        <v>32540</v>
      </c>
      <c r="C360">
        <v>36358</v>
      </c>
    </row>
    <row r="361" spans="1:3" x14ac:dyDescent="0.25">
      <c r="A361" t="s">
        <v>3</v>
      </c>
      <c r="B361" s="1">
        <v>32568</v>
      </c>
      <c r="C361">
        <v>36154</v>
      </c>
    </row>
    <row r="362" spans="1:3" x14ac:dyDescent="0.25">
      <c r="A362" t="s">
        <v>4</v>
      </c>
      <c r="B362" s="1">
        <v>32599</v>
      </c>
      <c r="C362">
        <v>360387.93</v>
      </c>
    </row>
    <row r="363" spans="1:3" x14ac:dyDescent="0.25">
      <c r="A363" t="s">
        <v>5</v>
      </c>
      <c r="B363" s="1">
        <v>32599</v>
      </c>
      <c r="C363">
        <v>459143</v>
      </c>
    </row>
    <row r="364" spans="1:3" x14ac:dyDescent="0.25">
      <c r="A364" t="s">
        <v>3</v>
      </c>
      <c r="B364" s="1">
        <v>32599</v>
      </c>
      <c r="C364">
        <v>1110.0999999999999</v>
      </c>
    </row>
    <row r="365" spans="1:3" x14ac:dyDescent="0.25">
      <c r="A365" t="s">
        <v>4</v>
      </c>
      <c r="B365" s="1">
        <v>32629</v>
      </c>
      <c r="C365">
        <v>444709.52</v>
      </c>
    </row>
    <row r="366" spans="1:3" x14ac:dyDescent="0.25">
      <c r="A366" t="s">
        <v>3</v>
      </c>
      <c r="B366" s="1">
        <v>32629</v>
      </c>
      <c r="C366">
        <v>116964.64</v>
      </c>
    </row>
    <row r="367" spans="1:3" x14ac:dyDescent="0.25">
      <c r="A367" t="s">
        <v>5</v>
      </c>
      <c r="B367" s="1">
        <v>32660</v>
      </c>
      <c r="C367">
        <v>70744.649999999994</v>
      </c>
    </row>
    <row r="368" spans="1:3" x14ac:dyDescent="0.25">
      <c r="A368" t="s">
        <v>3</v>
      </c>
      <c r="B368" s="1">
        <v>32660</v>
      </c>
      <c r="C368">
        <v>104.72</v>
      </c>
    </row>
    <row r="369" spans="1:3" x14ac:dyDescent="0.25">
      <c r="A369" t="s">
        <v>4</v>
      </c>
      <c r="B369" s="1">
        <v>32660</v>
      </c>
      <c r="C369">
        <v>14074263.640000001</v>
      </c>
    </row>
    <row r="370" spans="1:3" x14ac:dyDescent="0.25">
      <c r="A370" t="s">
        <v>3</v>
      </c>
      <c r="B370" s="1">
        <v>32690</v>
      </c>
      <c r="C370">
        <v>50214.62</v>
      </c>
    </row>
    <row r="371" spans="1:3" x14ac:dyDescent="0.25">
      <c r="A371" t="s">
        <v>5</v>
      </c>
      <c r="B371" s="1">
        <v>32690</v>
      </c>
      <c r="C371">
        <v>54740.02</v>
      </c>
    </row>
    <row r="372" spans="1:3" x14ac:dyDescent="0.25">
      <c r="A372" t="s">
        <v>4</v>
      </c>
      <c r="B372" s="1">
        <v>32690</v>
      </c>
      <c r="C372">
        <v>40869.08</v>
      </c>
    </row>
    <row r="373" spans="1:3" x14ac:dyDescent="0.25">
      <c r="A373" t="s">
        <v>3</v>
      </c>
      <c r="B373" s="1">
        <v>32721</v>
      </c>
      <c r="C373">
        <v>0</v>
      </c>
    </row>
    <row r="374" spans="1:3" x14ac:dyDescent="0.25">
      <c r="A374" t="s">
        <v>3</v>
      </c>
      <c r="B374" s="1">
        <v>32752</v>
      </c>
      <c r="C374">
        <v>426853</v>
      </c>
    </row>
    <row r="375" spans="1:3" x14ac:dyDescent="0.25">
      <c r="A375" t="s">
        <v>3</v>
      </c>
      <c r="B375" s="1">
        <v>32782</v>
      </c>
      <c r="C375">
        <v>1778.23</v>
      </c>
    </row>
    <row r="376" spans="1:3" x14ac:dyDescent="0.25">
      <c r="A376" t="s">
        <v>4</v>
      </c>
      <c r="B376" s="1">
        <v>32782</v>
      </c>
      <c r="C376">
        <v>189180.82</v>
      </c>
    </row>
    <row r="377" spans="1:3" x14ac:dyDescent="0.25">
      <c r="A377" t="s">
        <v>4</v>
      </c>
      <c r="B377" s="1">
        <v>32813</v>
      </c>
      <c r="C377">
        <v>169993.63</v>
      </c>
    </row>
    <row r="378" spans="1:3" x14ac:dyDescent="0.25">
      <c r="A378" t="s">
        <v>3</v>
      </c>
      <c r="B378" s="1">
        <v>32813</v>
      </c>
      <c r="C378">
        <v>341160.38</v>
      </c>
    </row>
    <row r="379" spans="1:3" x14ac:dyDescent="0.25">
      <c r="A379" t="s">
        <v>3</v>
      </c>
      <c r="B379" s="1">
        <v>32843</v>
      </c>
      <c r="C379">
        <v>1732120</v>
      </c>
    </row>
    <row r="380" spans="1:3" x14ac:dyDescent="0.25">
      <c r="A380" t="s">
        <v>4</v>
      </c>
      <c r="B380" s="1">
        <v>32874</v>
      </c>
      <c r="C380">
        <v>12496860.550000001</v>
      </c>
    </row>
    <row r="381" spans="1:3" x14ac:dyDescent="0.25">
      <c r="A381" t="s">
        <v>5</v>
      </c>
      <c r="B381" s="1">
        <v>32874</v>
      </c>
      <c r="C381">
        <v>197102.61</v>
      </c>
    </row>
    <row r="382" spans="1:3" x14ac:dyDescent="0.25">
      <c r="A382" t="s">
        <v>3</v>
      </c>
      <c r="B382" s="1">
        <v>32874</v>
      </c>
      <c r="C382">
        <v>33629.86</v>
      </c>
    </row>
    <row r="383" spans="1:3" x14ac:dyDescent="0.25">
      <c r="A383" t="s">
        <v>4</v>
      </c>
      <c r="B383" s="1">
        <v>32933</v>
      </c>
      <c r="C383">
        <v>500862.07</v>
      </c>
    </row>
    <row r="384" spans="1:3" x14ac:dyDescent="0.25">
      <c r="A384" t="s">
        <v>3</v>
      </c>
      <c r="B384" s="1">
        <v>32933</v>
      </c>
      <c r="C384">
        <v>612943.92000000004</v>
      </c>
    </row>
    <row r="385" spans="1:3" x14ac:dyDescent="0.25">
      <c r="A385" t="s">
        <v>5</v>
      </c>
      <c r="B385" s="1">
        <v>32964</v>
      </c>
      <c r="C385">
        <v>319746.51</v>
      </c>
    </row>
    <row r="386" spans="1:3" x14ac:dyDescent="0.25">
      <c r="A386" t="s">
        <v>3</v>
      </c>
      <c r="B386" s="1">
        <v>32964</v>
      </c>
      <c r="C386">
        <v>36772.480000000003</v>
      </c>
    </row>
    <row r="387" spans="1:3" x14ac:dyDescent="0.25">
      <c r="A387" t="s">
        <v>3</v>
      </c>
      <c r="B387" s="1">
        <v>32994</v>
      </c>
      <c r="C387">
        <v>200333.57</v>
      </c>
    </row>
    <row r="388" spans="1:3" x14ac:dyDescent="0.25">
      <c r="A388" t="s">
        <v>4</v>
      </c>
      <c r="B388" s="1">
        <v>32994</v>
      </c>
      <c r="C388">
        <v>12468.17</v>
      </c>
    </row>
    <row r="389" spans="1:3" x14ac:dyDescent="0.25">
      <c r="A389" t="s">
        <v>5</v>
      </c>
      <c r="B389" s="1">
        <v>32994</v>
      </c>
      <c r="C389">
        <v>26399.27</v>
      </c>
    </row>
    <row r="390" spans="1:3" x14ac:dyDescent="0.25">
      <c r="A390" t="s">
        <v>3</v>
      </c>
      <c r="B390" s="1">
        <v>33055</v>
      </c>
      <c r="C390">
        <v>12507</v>
      </c>
    </row>
    <row r="391" spans="1:3" x14ac:dyDescent="0.25">
      <c r="A391" t="s">
        <v>4</v>
      </c>
      <c r="B391" s="1">
        <v>33086</v>
      </c>
      <c r="C391">
        <v>5885486</v>
      </c>
    </row>
    <row r="392" spans="1:3" x14ac:dyDescent="0.25">
      <c r="A392" t="s">
        <v>5</v>
      </c>
      <c r="B392" s="1">
        <v>33117</v>
      </c>
      <c r="C392">
        <v>80406</v>
      </c>
    </row>
    <row r="393" spans="1:3" x14ac:dyDescent="0.25">
      <c r="A393" t="s">
        <v>3</v>
      </c>
      <c r="B393" s="1">
        <v>33117</v>
      </c>
      <c r="C393">
        <v>448128.14</v>
      </c>
    </row>
    <row r="394" spans="1:3" x14ac:dyDescent="0.25">
      <c r="A394" t="s">
        <v>5</v>
      </c>
      <c r="B394" s="1">
        <v>33147</v>
      </c>
      <c r="C394">
        <v>275817.14</v>
      </c>
    </row>
    <row r="395" spans="1:3" x14ac:dyDescent="0.25">
      <c r="A395" t="s">
        <v>4</v>
      </c>
      <c r="B395" s="1">
        <v>33147</v>
      </c>
      <c r="C395">
        <v>22350.62</v>
      </c>
    </row>
    <row r="396" spans="1:3" x14ac:dyDescent="0.25">
      <c r="A396" t="s">
        <v>5</v>
      </c>
      <c r="B396" s="1">
        <v>33178</v>
      </c>
      <c r="C396">
        <v>216970.01</v>
      </c>
    </row>
    <row r="397" spans="1:3" x14ac:dyDescent="0.25">
      <c r="A397" t="s">
        <v>3</v>
      </c>
      <c r="B397" s="1">
        <v>33178</v>
      </c>
      <c r="C397">
        <v>410899.8</v>
      </c>
    </row>
    <row r="398" spans="1:3" x14ac:dyDescent="0.25">
      <c r="A398" t="s">
        <v>4</v>
      </c>
      <c r="B398" s="1">
        <v>33178</v>
      </c>
      <c r="C398">
        <v>301693.23</v>
      </c>
    </row>
    <row r="399" spans="1:3" x14ac:dyDescent="0.25">
      <c r="A399" t="s">
        <v>3</v>
      </c>
      <c r="B399" s="1">
        <v>33208</v>
      </c>
      <c r="C399">
        <v>62275.88</v>
      </c>
    </row>
    <row r="400" spans="1:3" x14ac:dyDescent="0.25">
      <c r="A400" t="s">
        <v>4</v>
      </c>
      <c r="B400" s="1">
        <v>33208</v>
      </c>
      <c r="C400">
        <v>127052.14</v>
      </c>
    </row>
    <row r="401" spans="1:3" x14ac:dyDescent="0.25">
      <c r="A401" t="s">
        <v>5</v>
      </c>
      <c r="B401" s="1">
        <v>33208</v>
      </c>
      <c r="C401">
        <v>10671</v>
      </c>
    </row>
    <row r="402" spans="1:3" x14ac:dyDescent="0.25">
      <c r="A402" t="s">
        <v>3</v>
      </c>
      <c r="B402" s="1">
        <v>33239</v>
      </c>
      <c r="C402">
        <v>0</v>
      </c>
    </row>
    <row r="403" spans="1:3" x14ac:dyDescent="0.25">
      <c r="A403" t="s">
        <v>5</v>
      </c>
      <c r="B403" s="1">
        <v>33270</v>
      </c>
      <c r="C403">
        <v>286588.56</v>
      </c>
    </row>
    <row r="404" spans="1:3" x14ac:dyDescent="0.25">
      <c r="A404" t="s">
        <v>3</v>
      </c>
      <c r="B404" s="1">
        <v>33270</v>
      </c>
      <c r="C404">
        <v>79677.47</v>
      </c>
    </row>
    <row r="405" spans="1:3" x14ac:dyDescent="0.25">
      <c r="A405" t="s">
        <v>4</v>
      </c>
      <c r="B405" s="1">
        <v>33298</v>
      </c>
      <c r="C405">
        <v>117019.03</v>
      </c>
    </row>
    <row r="406" spans="1:3" x14ac:dyDescent="0.25">
      <c r="A406" t="s">
        <v>3</v>
      </c>
      <c r="B406" s="1">
        <v>33298</v>
      </c>
      <c r="C406">
        <v>11855178.300000001</v>
      </c>
    </row>
    <row r="407" spans="1:3" x14ac:dyDescent="0.25">
      <c r="A407" t="s">
        <v>4</v>
      </c>
      <c r="B407" s="1">
        <v>33329</v>
      </c>
      <c r="C407">
        <v>677692.17</v>
      </c>
    </row>
    <row r="408" spans="1:3" x14ac:dyDescent="0.25">
      <c r="A408" t="s">
        <v>5</v>
      </c>
      <c r="B408" s="1">
        <v>33329</v>
      </c>
      <c r="C408">
        <v>246445.55</v>
      </c>
    </row>
    <row r="409" spans="1:3" x14ac:dyDescent="0.25">
      <c r="A409" t="s">
        <v>4</v>
      </c>
      <c r="B409" s="1">
        <v>33359</v>
      </c>
      <c r="C409">
        <v>126464.26</v>
      </c>
    </row>
    <row r="410" spans="1:3" x14ac:dyDescent="0.25">
      <c r="A410" t="s">
        <v>3</v>
      </c>
      <c r="B410" s="1">
        <v>33359</v>
      </c>
      <c r="C410">
        <v>763215.79</v>
      </c>
    </row>
    <row r="411" spans="1:3" x14ac:dyDescent="0.25">
      <c r="A411" t="s">
        <v>5</v>
      </c>
      <c r="B411" s="1">
        <v>33390</v>
      </c>
      <c r="C411">
        <v>306065.86</v>
      </c>
    </row>
    <row r="412" spans="1:3" x14ac:dyDescent="0.25">
      <c r="A412" t="s">
        <v>4</v>
      </c>
      <c r="B412" s="1">
        <v>33390</v>
      </c>
      <c r="C412">
        <v>0</v>
      </c>
    </row>
    <row r="413" spans="1:3" x14ac:dyDescent="0.25">
      <c r="A413" t="s">
        <v>5</v>
      </c>
      <c r="B413" s="1">
        <v>33420</v>
      </c>
      <c r="C413">
        <v>0</v>
      </c>
    </row>
    <row r="414" spans="1:3" x14ac:dyDescent="0.25">
      <c r="A414" t="s">
        <v>3</v>
      </c>
      <c r="B414" s="1">
        <v>33420</v>
      </c>
      <c r="C414">
        <v>27494</v>
      </c>
    </row>
    <row r="415" spans="1:3" x14ac:dyDescent="0.25">
      <c r="A415" t="s">
        <v>3</v>
      </c>
      <c r="B415" s="1">
        <v>33482</v>
      </c>
      <c r="C415">
        <v>148959</v>
      </c>
    </row>
    <row r="416" spans="1:3" x14ac:dyDescent="0.25">
      <c r="A416" t="s">
        <v>5</v>
      </c>
      <c r="B416" s="1">
        <v>33482</v>
      </c>
      <c r="C416">
        <v>-286696</v>
      </c>
    </row>
    <row r="417" spans="1:3" x14ac:dyDescent="0.25">
      <c r="A417" t="s">
        <v>4</v>
      </c>
      <c r="B417" s="1">
        <v>33482</v>
      </c>
      <c r="C417">
        <v>84211</v>
      </c>
    </row>
    <row r="418" spans="1:3" x14ac:dyDescent="0.25">
      <c r="A418" t="s">
        <v>5</v>
      </c>
      <c r="B418" s="1">
        <v>33543</v>
      </c>
      <c r="C418">
        <v>434087.13</v>
      </c>
    </row>
    <row r="419" spans="1:3" x14ac:dyDescent="0.25">
      <c r="A419" t="s">
        <v>4</v>
      </c>
      <c r="B419" s="1">
        <v>33543</v>
      </c>
      <c r="C419">
        <v>41908.269999999997</v>
      </c>
    </row>
    <row r="420" spans="1:3" x14ac:dyDescent="0.25">
      <c r="A420" t="s">
        <v>3</v>
      </c>
      <c r="B420" s="1">
        <v>33573</v>
      </c>
      <c r="C420">
        <v>25360.9</v>
      </c>
    </row>
    <row r="421" spans="1:3" x14ac:dyDescent="0.25">
      <c r="A421" t="s">
        <v>4</v>
      </c>
      <c r="B421" s="1">
        <v>33573</v>
      </c>
      <c r="C421">
        <v>307761.09000000003</v>
      </c>
    </row>
    <row r="422" spans="1:3" x14ac:dyDescent="0.25">
      <c r="A422" t="s">
        <v>4</v>
      </c>
      <c r="B422" s="1">
        <v>33604</v>
      </c>
      <c r="C422">
        <v>95974</v>
      </c>
    </row>
    <row r="423" spans="1:3" x14ac:dyDescent="0.25">
      <c r="A423" t="s">
        <v>3</v>
      </c>
      <c r="B423" s="1">
        <v>33604</v>
      </c>
      <c r="C423">
        <v>86296.17</v>
      </c>
    </row>
    <row r="424" spans="1:3" x14ac:dyDescent="0.25">
      <c r="A424" t="s">
        <v>3</v>
      </c>
      <c r="B424" s="1">
        <v>33664</v>
      </c>
      <c r="C424">
        <v>15113</v>
      </c>
    </row>
    <row r="425" spans="1:3" x14ac:dyDescent="0.25">
      <c r="A425" t="s">
        <v>3</v>
      </c>
      <c r="B425" s="1">
        <v>33695</v>
      </c>
      <c r="C425">
        <v>5975.06</v>
      </c>
    </row>
    <row r="426" spans="1:3" x14ac:dyDescent="0.25">
      <c r="A426" t="s">
        <v>3</v>
      </c>
      <c r="B426" s="1">
        <v>33725</v>
      </c>
      <c r="C426">
        <v>2161238</v>
      </c>
    </row>
    <row r="427" spans="1:3" x14ac:dyDescent="0.25">
      <c r="A427" t="s">
        <v>4</v>
      </c>
      <c r="B427" s="1">
        <v>33756</v>
      </c>
      <c r="C427">
        <v>8170.34</v>
      </c>
    </row>
    <row r="428" spans="1:3" x14ac:dyDescent="0.25">
      <c r="A428" t="s">
        <v>4</v>
      </c>
      <c r="B428" s="1">
        <v>33817</v>
      </c>
      <c r="C428">
        <v>110340</v>
      </c>
    </row>
    <row r="429" spans="1:3" x14ac:dyDescent="0.25">
      <c r="A429" t="s">
        <v>3</v>
      </c>
      <c r="B429" s="1">
        <v>33817</v>
      </c>
      <c r="C429">
        <v>43490.68</v>
      </c>
    </row>
    <row r="430" spans="1:3" x14ac:dyDescent="0.25">
      <c r="A430" t="s">
        <v>3</v>
      </c>
      <c r="B430" s="1">
        <v>33939</v>
      </c>
      <c r="C430">
        <v>374296</v>
      </c>
    </row>
    <row r="431" spans="1:3" x14ac:dyDescent="0.25">
      <c r="A431" t="s">
        <v>3</v>
      </c>
      <c r="B431" s="1">
        <v>34001</v>
      </c>
      <c r="C431">
        <v>246356</v>
      </c>
    </row>
    <row r="432" spans="1:3" x14ac:dyDescent="0.25">
      <c r="A432" t="s">
        <v>3</v>
      </c>
      <c r="B432" s="1">
        <v>34029</v>
      </c>
      <c r="C432">
        <v>13731</v>
      </c>
    </row>
    <row r="433" spans="1:3" x14ac:dyDescent="0.25">
      <c r="A433" t="s">
        <v>4</v>
      </c>
      <c r="B433" s="1">
        <v>34060</v>
      </c>
      <c r="C433">
        <v>13149929.51</v>
      </c>
    </row>
    <row r="434" spans="1:3" x14ac:dyDescent="0.25">
      <c r="A434" t="s">
        <v>3</v>
      </c>
      <c r="B434" s="1">
        <v>34060</v>
      </c>
      <c r="C434">
        <v>531087.52</v>
      </c>
    </row>
    <row r="435" spans="1:3" x14ac:dyDescent="0.25">
      <c r="A435" t="s">
        <v>3</v>
      </c>
      <c r="B435" s="1">
        <v>34090</v>
      </c>
      <c r="C435">
        <v>125761.01</v>
      </c>
    </row>
    <row r="436" spans="1:3" x14ac:dyDescent="0.25">
      <c r="A436" t="s">
        <v>3</v>
      </c>
      <c r="B436" s="1">
        <v>34121</v>
      </c>
      <c r="C436">
        <v>2901309.02</v>
      </c>
    </row>
    <row r="437" spans="1:3" x14ac:dyDescent="0.25">
      <c r="A437" t="s">
        <v>3</v>
      </c>
      <c r="B437" s="1">
        <v>34182</v>
      </c>
      <c r="C437">
        <v>318931.7</v>
      </c>
    </row>
    <row r="438" spans="1:3" x14ac:dyDescent="0.25">
      <c r="A438" t="s">
        <v>5</v>
      </c>
      <c r="B438" s="1">
        <v>34243</v>
      </c>
      <c r="C438">
        <v>-10927.16</v>
      </c>
    </row>
    <row r="439" spans="1:3" x14ac:dyDescent="0.25">
      <c r="A439" t="s">
        <v>3</v>
      </c>
      <c r="B439" s="1">
        <v>34304</v>
      </c>
      <c r="C439">
        <v>10185.969999999999</v>
      </c>
    </row>
    <row r="440" spans="1:3" x14ac:dyDescent="0.25">
      <c r="A440" t="s">
        <v>5</v>
      </c>
      <c r="B440" s="1">
        <v>34335</v>
      </c>
      <c r="C440">
        <v>156747.32999999999</v>
      </c>
    </row>
    <row r="441" spans="1:3" x14ac:dyDescent="0.25">
      <c r="A441" t="s">
        <v>3</v>
      </c>
      <c r="B441" s="1">
        <v>34335</v>
      </c>
      <c r="C441">
        <v>116987.16</v>
      </c>
    </row>
    <row r="442" spans="1:3" x14ac:dyDescent="0.25">
      <c r="A442" t="s">
        <v>4</v>
      </c>
      <c r="B442" s="1">
        <v>34366</v>
      </c>
      <c r="C442">
        <v>200569.01</v>
      </c>
    </row>
    <row r="443" spans="1:3" x14ac:dyDescent="0.25">
      <c r="A443" t="s">
        <v>3</v>
      </c>
      <c r="B443" s="1">
        <v>34366</v>
      </c>
      <c r="C443">
        <v>0</v>
      </c>
    </row>
    <row r="444" spans="1:3" x14ac:dyDescent="0.25">
      <c r="A444" t="s">
        <v>3</v>
      </c>
      <c r="B444" s="1">
        <v>34394</v>
      </c>
      <c r="C444">
        <v>102616</v>
      </c>
    </row>
    <row r="445" spans="1:3" x14ac:dyDescent="0.25">
      <c r="A445" t="s">
        <v>3</v>
      </c>
      <c r="B445" s="1">
        <v>34455</v>
      </c>
      <c r="C445">
        <v>668817</v>
      </c>
    </row>
    <row r="446" spans="1:3" x14ac:dyDescent="0.25">
      <c r="A446" t="s">
        <v>4</v>
      </c>
      <c r="B446" s="1">
        <v>34455</v>
      </c>
      <c r="C446">
        <v>208837</v>
      </c>
    </row>
    <row r="447" spans="1:3" x14ac:dyDescent="0.25">
      <c r="A447" t="s">
        <v>3</v>
      </c>
      <c r="B447" s="1">
        <v>34486</v>
      </c>
      <c r="C447">
        <v>120</v>
      </c>
    </row>
    <row r="448" spans="1:3" x14ac:dyDescent="0.25">
      <c r="A448" t="s">
        <v>3</v>
      </c>
      <c r="B448" s="1">
        <v>34516</v>
      </c>
      <c r="C448">
        <v>1102660.01</v>
      </c>
    </row>
    <row r="449" spans="1:3" x14ac:dyDescent="0.25">
      <c r="A449" t="s">
        <v>5</v>
      </c>
      <c r="B449" s="1">
        <v>34516</v>
      </c>
      <c r="C449">
        <v>683442</v>
      </c>
    </row>
    <row r="450" spans="1:3" x14ac:dyDescent="0.25">
      <c r="A450" t="s">
        <v>3</v>
      </c>
      <c r="B450" s="1">
        <v>34547</v>
      </c>
      <c r="C450">
        <v>11003</v>
      </c>
    </row>
    <row r="451" spans="1:3" x14ac:dyDescent="0.25">
      <c r="A451" t="s">
        <v>5</v>
      </c>
      <c r="B451" s="1">
        <v>34608</v>
      </c>
      <c r="C451">
        <v>0</v>
      </c>
    </row>
    <row r="452" spans="1:3" x14ac:dyDescent="0.25">
      <c r="A452" t="s">
        <v>3</v>
      </c>
      <c r="B452" s="1">
        <v>34608</v>
      </c>
      <c r="C452">
        <v>4290148.6100000003</v>
      </c>
    </row>
    <row r="453" spans="1:3" x14ac:dyDescent="0.25">
      <c r="A453" t="s">
        <v>4</v>
      </c>
      <c r="B453" s="1">
        <v>34639</v>
      </c>
      <c r="C453">
        <v>148447.42000000001</v>
      </c>
    </row>
    <row r="454" spans="1:3" x14ac:dyDescent="0.25">
      <c r="A454" t="s">
        <v>3</v>
      </c>
      <c r="B454" s="1">
        <v>34639</v>
      </c>
      <c r="C454">
        <v>6525.58</v>
      </c>
    </row>
    <row r="455" spans="1:3" x14ac:dyDescent="0.25">
      <c r="A455" t="s">
        <v>3</v>
      </c>
      <c r="B455" s="1">
        <v>34669</v>
      </c>
      <c r="C455">
        <v>604246.43000000005</v>
      </c>
    </row>
    <row r="456" spans="1:3" x14ac:dyDescent="0.25">
      <c r="A456" t="s">
        <v>4</v>
      </c>
      <c r="B456" s="1">
        <v>34669</v>
      </c>
      <c r="C456">
        <v>385.97</v>
      </c>
    </row>
    <row r="457" spans="1:3" x14ac:dyDescent="0.25">
      <c r="A457" t="s">
        <v>3</v>
      </c>
      <c r="B457" s="1">
        <v>34790</v>
      </c>
      <c r="C457">
        <v>812129.01</v>
      </c>
    </row>
    <row r="458" spans="1:3" x14ac:dyDescent="0.25">
      <c r="A458" t="s">
        <v>3</v>
      </c>
      <c r="B458" s="1">
        <v>34820</v>
      </c>
      <c r="C458">
        <v>14011.48</v>
      </c>
    </row>
    <row r="459" spans="1:3" x14ac:dyDescent="0.25">
      <c r="A459" t="s">
        <v>4</v>
      </c>
      <c r="B459" s="1">
        <v>34820</v>
      </c>
      <c r="C459">
        <v>196353.52</v>
      </c>
    </row>
    <row r="460" spans="1:3" x14ac:dyDescent="0.25">
      <c r="A460" t="s">
        <v>3</v>
      </c>
      <c r="B460" s="1">
        <v>34851</v>
      </c>
      <c r="C460">
        <v>2765005.02</v>
      </c>
    </row>
    <row r="461" spans="1:3" x14ac:dyDescent="0.25">
      <c r="A461" t="s">
        <v>5</v>
      </c>
      <c r="B461" s="1">
        <v>34881</v>
      </c>
      <c r="C461">
        <v>-285390</v>
      </c>
    </row>
    <row r="462" spans="1:3" x14ac:dyDescent="0.25">
      <c r="A462" t="s">
        <v>3</v>
      </c>
      <c r="B462" s="1">
        <v>34881</v>
      </c>
      <c r="C462">
        <v>20094</v>
      </c>
    </row>
    <row r="463" spans="1:3" x14ac:dyDescent="0.25">
      <c r="A463" t="s">
        <v>3</v>
      </c>
      <c r="B463" s="1">
        <v>34912</v>
      </c>
      <c r="C463">
        <v>301406.3</v>
      </c>
    </row>
    <row r="464" spans="1:3" x14ac:dyDescent="0.25">
      <c r="A464" t="s">
        <v>5</v>
      </c>
      <c r="B464" s="1">
        <v>34912</v>
      </c>
      <c r="C464">
        <v>170.89</v>
      </c>
    </row>
    <row r="465" spans="1:3" x14ac:dyDescent="0.25">
      <c r="A465" t="s">
        <v>5</v>
      </c>
      <c r="B465" s="1">
        <v>34973</v>
      </c>
      <c r="C465">
        <v>9581.99</v>
      </c>
    </row>
    <row r="466" spans="1:3" x14ac:dyDescent="0.25">
      <c r="A466" t="s">
        <v>3</v>
      </c>
      <c r="B466" s="1">
        <v>34973</v>
      </c>
      <c r="C466">
        <v>126838.03</v>
      </c>
    </row>
    <row r="467" spans="1:3" x14ac:dyDescent="0.25">
      <c r="A467" t="s">
        <v>4</v>
      </c>
      <c r="B467" s="1">
        <v>34973</v>
      </c>
      <c r="C467">
        <v>68014.009999999995</v>
      </c>
    </row>
    <row r="468" spans="1:3" x14ac:dyDescent="0.25">
      <c r="A468" t="s">
        <v>3</v>
      </c>
      <c r="B468" s="1">
        <v>35004</v>
      </c>
      <c r="C468">
        <v>2570042</v>
      </c>
    </row>
    <row r="469" spans="1:3" x14ac:dyDescent="0.25">
      <c r="A469" t="s">
        <v>4</v>
      </c>
      <c r="B469" s="1">
        <v>35004</v>
      </c>
      <c r="C469">
        <v>0</v>
      </c>
    </row>
    <row r="470" spans="1:3" x14ac:dyDescent="0.25">
      <c r="A470" t="s">
        <v>3</v>
      </c>
      <c r="B470" s="1">
        <v>35034</v>
      </c>
      <c r="C470">
        <v>1003116.2</v>
      </c>
    </row>
    <row r="471" spans="1:3" x14ac:dyDescent="0.25">
      <c r="A471" t="s">
        <v>3</v>
      </c>
      <c r="B471" s="1">
        <v>35096</v>
      </c>
      <c r="C471">
        <v>37787.65</v>
      </c>
    </row>
    <row r="472" spans="1:3" x14ac:dyDescent="0.25">
      <c r="A472" t="s">
        <v>5</v>
      </c>
      <c r="B472" s="1">
        <v>35096</v>
      </c>
      <c r="C472">
        <v>95410.35</v>
      </c>
    </row>
    <row r="473" spans="1:3" x14ac:dyDescent="0.25">
      <c r="A473" t="s">
        <v>4</v>
      </c>
      <c r="B473" s="1">
        <v>35125</v>
      </c>
      <c r="C473">
        <v>175848</v>
      </c>
    </row>
    <row r="474" spans="1:3" x14ac:dyDescent="0.25">
      <c r="A474" t="s">
        <v>3</v>
      </c>
      <c r="B474" s="1">
        <v>35125</v>
      </c>
      <c r="C474">
        <v>178824.01</v>
      </c>
    </row>
    <row r="475" spans="1:3" x14ac:dyDescent="0.25">
      <c r="A475" t="s">
        <v>3</v>
      </c>
      <c r="B475" s="1">
        <v>35156</v>
      </c>
      <c r="C475">
        <v>4249</v>
      </c>
    </row>
    <row r="476" spans="1:3" x14ac:dyDescent="0.25">
      <c r="A476" t="s">
        <v>3</v>
      </c>
      <c r="B476" s="1">
        <v>35186</v>
      </c>
      <c r="C476">
        <v>1124757</v>
      </c>
    </row>
    <row r="477" spans="1:3" x14ac:dyDescent="0.25">
      <c r="A477" t="s">
        <v>3</v>
      </c>
      <c r="B477" s="1">
        <v>35309</v>
      </c>
      <c r="C477">
        <v>0</v>
      </c>
    </row>
    <row r="478" spans="1:3" x14ac:dyDescent="0.25">
      <c r="A478" t="s">
        <v>5</v>
      </c>
      <c r="B478" s="1">
        <v>35339</v>
      </c>
      <c r="C478">
        <v>182180.8</v>
      </c>
    </row>
    <row r="479" spans="1:3" x14ac:dyDescent="0.25">
      <c r="A479" t="s">
        <v>3</v>
      </c>
      <c r="B479" s="1">
        <v>35339</v>
      </c>
      <c r="C479">
        <v>557544.41</v>
      </c>
    </row>
    <row r="480" spans="1:3" x14ac:dyDescent="0.25">
      <c r="A480" t="s">
        <v>5</v>
      </c>
      <c r="B480" s="1">
        <v>35400</v>
      </c>
      <c r="C480">
        <v>8596</v>
      </c>
    </row>
    <row r="481" spans="1:3" x14ac:dyDescent="0.25">
      <c r="A481" t="s">
        <v>3</v>
      </c>
      <c r="B481" s="1">
        <v>35400</v>
      </c>
      <c r="C481">
        <v>19732</v>
      </c>
    </row>
    <row r="482" spans="1:3" x14ac:dyDescent="0.25">
      <c r="A482" t="s">
        <v>3</v>
      </c>
      <c r="B482" s="1">
        <v>35521</v>
      </c>
      <c r="C482">
        <v>856648.01</v>
      </c>
    </row>
    <row r="483" spans="1:3" x14ac:dyDescent="0.25">
      <c r="A483" t="s">
        <v>3</v>
      </c>
      <c r="B483" s="1">
        <v>35551</v>
      </c>
      <c r="C483">
        <v>1004948.01</v>
      </c>
    </row>
    <row r="484" spans="1:3" x14ac:dyDescent="0.25">
      <c r="A484" t="s">
        <v>5</v>
      </c>
      <c r="B484" s="1">
        <v>35582</v>
      </c>
      <c r="C484">
        <v>6192</v>
      </c>
    </row>
    <row r="485" spans="1:3" x14ac:dyDescent="0.25">
      <c r="A485" t="s">
        <v>3</v>
      </c>
      <c r="B485" s="1">
        <v>35612</v>
      </c>
      <c r="C485">
        <v>24429</v>
      </c>
    </row>
    <row r="486" spans="1:3" x14ac:dyDescent="0.25">
      <c r="A486" t="s">
        <v>3</v>
      </c>
      <c r="B486" s="1">
        <v>35674</v>
      </c>
      <c r="C486">
        <v>437057.93</v>
      </c>
    </row>
    <row r="487" spans="1:3" x14ac:dyDescent="0.25">
      <c r="A487" t="s">
        <v>3</v>
      </c>
      <c r="B487" s="1">
        <v>35735</v>
      </c>
      <c r="C487">
        <v>46881.02</v>
      </c>
    </row>
    <row r="488" spans="1:3" x14ac:dyDescent="0.25">
      <c r="A488" t="s">
        <v>5</v>
      </c>
      <c r="B488" s="1">
        <v>35735</v>
      </c>
      <c r="C488">
        <v>107622.99</v>
      </c>
    </row>
    <row r="489" spans="1:3" x14ac:dyDescent="0.25">
      <c r="A489" t="s">
        <v>3</v>
      </c>
      <c r="B489" s="1">
        <v>35765</v>
      </c>
      <c r="C489">
        <v>1587683</v>
      </c>
    </row>
    <row r="490" spans="1:3" x14ac:dyDescent="0.25">
      <c r="A490" t="s">
        <v>3</v>
      </c>
      <c r="B490" s="1">
        <v>35796</v>
      </c>
      <c r="C490">
        <v>409580.48</v>
      </c>
    </row>
    <row r="491" spans="1:3" x14ac:dyDescent="0.25">
      <c r="A491" t="s">
        <v>5</v>
      </c>
      <c r="B491" s="1">
        <v>35796</v>
      </c>
      <c r="C491">
        <v>329976.55</v>
      </c>
    </row>
    <row r="492" spans="1:3" x14ac:dyDescent="0.25">
      <c r="A492" t="s">
        <v>3</v>
      </c>
      <c r="B492" s="1">
        <v>35827</v>
      </c>
      <c r="C492">
        <v>122474</v>
      </c>
    </row>
    <row r="493" spans="1:3" x14ac:dyDescent="0.25">
      <c r="A493" t="s">
        <v>3</v>
      </c>
      <c r="B493" s="1">
        <v>35886</v>
      </c>
      <c r="C493">
        <v>125427.88</v>
      </c>
    </row>
    <row r="494" spans="1:3" x14ac:dyDescent="0.25">
      <c r="A494" t="s">
        <v>5</v>
      </c>
      <c r="B494" s="1">
        <v>35886</v>
      </c>
      <c r="C494">
        <v>269008.12</v>
      </c>
    </row>
    <row r="495" spans="1:3" x14ac:dyDescent="0.25">
      <c r="A495" t="s">
        <v>4</v>
      </c>
      <c r="B495" s="1">
        <v>35886</v>
      </c>
      <c r="C495">
        <v>314680</v>
      </c>
    </row>
    <row r="496" spans="1:3" x14ac:dyDescent="0.25">
      <c r="A496" t="s">
        <v>3</v>
      </c>
      <c r="B496" s="1">
        <v>35947</v>
      </c>
      <c r="C496">
        <v>34122.93</v>
      </c>
    </row>
    <row r="497" spans="1:3" x14ac:dyDescent="0.25">
      <c r="A497" t="s">
        <v>5</v>
      </c>
      <c r="B497" s="1">
        <v>35947</v>
      </c>
      <c r="C497">
        <v>0</v>
      </c>
    </row>
    <row r="498" spans="1:3" x14ac:dyDescent="0.25">
      <c r="A498" t="s">
        <v>3</v>
      </c>
      <c r="B498" s="1">
        <v>35977</v>
      </c>
      <c r="C498">
        <v>6324524.1600000001</v>
      </c>
    </row>
    <row r="499" spans="1:3" x14ac:dyDescent="0.25">
      <c r="A499" t="s">
        <v>3</v>
      </c>
      <c r="B499" s="1">
        <v>36130</v>
      </c>
      <c r="C499">
        <v>75886.98</v>
      </c>
    </row>
    <row r="500" spans="1:3" x14ac:dyDescent="0.25">
      <c r="A500" t="s">
        <v>3</v>
      </c>
      <c r="B500" s="1">
        <v>36161</v>
      </c>
      <c r="C500">
        <v>2039287.96</v>
      </c>
    </row>
    <row r="501" spans="1:3" x14ac:dyDescent="0.25">
      <c r="A501" t="s">
        <v>5</v>
      </c>
      <c r="B501" s="1">
        <v>36161</v>
      </c>
      <c r="C501">
        <v>708.05</v>
      </c>
    </row>
    <row r="502" spans="1:3" x14ac:dyDescent="0.25">
      <c r="A502" t="s">
        <v>3</v>
      </c>
      <c r="B502" s="1">
        <v>36192</v>
      </c>
      <c r="C502">
        <v>129579</v>
      </c>
    </row>
    <row r="503" spans="1:3" x14ac:dyDescent="0.25">
      <c r="A503" t="s">
        <v>5</v>
      </c>
      <c r="B503" s="1">
        <v>36192</v>
      </c>
      <c r="C503">
        <v>0</v>
      </c>
    </row>
    <row r="504" spans="1:3" x14ac:dyDescent="0.25">
      <c r="A504" t="s">
        <v>4</v>
      </c>
      <c r="B504" s="1">
        <v>36192</v>
      </c>
      <c r="C504">
        <v>0</v>
      </c>
    </row>
    <row r="505" spans="1:3" x14ac:dyDescent="0.25">
      <c r="A505" t="s">
        <v>5</v>
      </c>
      <c r="B505" s="1">
        <v>36251</v>
      </c>
      <c r="C505">
        <v>329249.69</v>
      </c>
    </row>
    <row r="506" spans="1:3" x14ac:dyDescent="0.25">
      <c r="A506" t="s">
        <v>3</v>
      </c>
      <c r="B506" s="1">
        <v>36251</v>
      </c>
      <c r="C506">
        <v>86720.12</v>
      </c>
    </row>
    <row r="507" spans="1:3" x14ac:dyDescent="0.25">
      <c r="A507" t="s">
        <v>3</v>
      </c>
      <c r="B507" s="1">
        <v>36281</v>
      </c>
      <c r="C507">
        <v>1747240</v>
      </c>
    </row>
    <row r="508" spans="1:3" x14ac:dyDescent="0.25">
      <c r="A508" t="s">
        <v>3</v>
      </c>
      <c r="B508" s="1">
        <v>36312</v>
      </c>
      <c r="C508">
        <v>141</v>
      </c>
    </row>
    <row r="509" spans="1:3" x14ac:dyDescent="0.25">
      <c r="A509" t="s">
        <v>4</v>
      </c>
      <c r="B509" s="1">
        <v>36342</v>
      </c>
      <c r="C509">
        <v>0</v>
      </c>
    </row>
    <row r="510" spans="1:3" x14ac:dyDescent="0.25">
      <c r="A510" t="s">
        <v>3</v>
      </c>
      <c r="B510" s="1">
        <v>36342</v>
      </c>
      <c r="C510">
        <v>2724946</v>
      </c>
    </row>
    <row r="511" spans="1:3" x14ac:dyDescent="0.25">
      <c r="A511" t="s">
        <v>3</v>
      </c>
      <c r="B511" s="1">
        <v>36373</v>
      </c>
      <c r="C511">
        <v>453318.02</v>
      </c>
    </row>
    <row r="512" spans="1:3" x14ac:dyDescent="0.25">
      <c r="A512" t="s">
        <v>3</v>
      </c>
      <c r="B512" s="1">
        <v>36404</v>
      </c>
      <c r="C512">
        <v>4593823.03</v>
      </c>
    </row>
    <row r="513" spans="1:3" x14ac:dyDescent="0.25">
      <c r="A513" t="s">
        <v>3</v>
      </c>
      <c r="B513" s="1">
        <v>36434</v>
      </c>
      <c r="C513">
        <v>176062</v>
      </c>
    </row>
    <row r="514" spans="1:3" x14ac:dyDescent="0.25">
      <c r="A514" t="s">
        <v>4</v>
      </c>
      <c r="B514" s="1">
        <v>36465</v>
      </c>
      <c r="C514">
        <v>123805</v>
      </c>
    </row>
    <row r="515" spans="1:3" x14ac:dyDescent="0.25">
      <c r="A515" t="s">
        <v>3</v>
      </c>
      <c r="B515" s="1">
        <v>36465</v>
      </c>
      <c r="C515">
        <v>0</v>
      </c>
    </row>
    <row r="516" spans="1:3" x14ac:dyDescent="0.25">
      <c r="A516" t="s">
        <v>4</v>
      </c>
      <c r="B516" s="1">
        <v>36526</v>
      </c>
      <c r="C516">
        <v>0</v>
      </c>
    </row>
    <row r="517" spans="1:3" x14ac:dyDescent="0.25">
      <c r="A517" t="s">
        <v>3</v>
      </c>
      <c r="B517" s="1">
        <v>36617</v>
      </c>
      <c r="C517">
        <v>1630925.9</v>
      </c>
    </row>
    <row r="518" spans="1:3" x14ac:dyDescent="0.25">
      <c r="A518" t="s">
        <v>5</v>
      </c>
      <c r="B518" s="1">
        <v>36647</v>
      </c>
      <c r="C518">
        <v>3729</v>
      </c>
    </row>
    <row r="519" spans="1:3" x14ac:dyDescent="0.25">
      <c r="A519" t="s">
        <v>3</v>
      </c>
      <c r="B519" s="1">
        <v>36647</v>
      </c>
      <c r="C519">
        <v>12339342.029999999</v>
      </c>
    </row>
    <row r="520" spans="1:3" x14ac:dyDescent="0.25">
      <c r="A520" t="s">
        <v>3</v>
      </c>
      <c r="B520" s="1">
        <v>36678</v>
      </c>
      <c r="C520">
        <v>10396080.560000001</v>
      </c>
    </row>
    <row r="521" spans="1:3" x14ac:dyDescent="0.25">
      <c r="A521" t="s">
        <v>3</v>
      </c>
      <c r="B521" s="1">
        <v>36708</v>
      </c>
      <c r="C521">
        <v>5174232.05</v>
      </c>
    </row>
    <row r="522" spans="1:3" x14ac:dyDescent="0.25">
      <c r="A522" t="s">
        <v>3</v>
      </c>
      <c r="B522" s="1">
        <v>36739</v>
      </c>
      <c r="C522">
        <v>3260662</v>
      </c>
    </row>
    <row r="523" spans="1:3" x14ac:dyDescent="0.25">
      <c r="A523" t="s">
        <v>3</v>
      </c>
      <c r="B523" s="1">
        <v>36770</v>
      </c>
      <c r="C523">
        <v>0</v>
      </c>
    </row>
    <row r="524" spans="1:3" x14ac:dyDescent="0.25">
      <c r="A524" t="s">
        <v>5</v>
      </c>
      <c r="B524" s="1">
        <v>36800</v>
      </c>
      <c r="C524">
        <v>50701.02</v>
      </c>
    </row>
    <row r="525" spans="1:3" x14ac:dyDescent="0.25">
      <c r="A525" t="s">
        <v>3</v>
      </c>
      <c r="B525" s="1">
        <v>36800</v>
      </c>
      <c r="C525">
        <v>132038</v>
      </c>
    </row>
    <row r="526" spans="1:3" x14ac:dyDescent="0.25">
      <c r="A526" t="s">
        <v>3</v>
      </c>
      <c r="B526" s="1">
        <v>36861</v>
      </c>
      <c r="C526">
        <v>10317340.02</v>
      </c>
    </row>
    <row r="527" spans="1:3" x14ac:dyDescent="0.25">
      <c r="A527" t="s">
        <v>3</v>
      </c>
      <c r="B527" s="1">
        <v>36892</v>
      </c>
      <c r="C527">
        <v>3409</v>
      </c>
    </row>
    <row r="528" spans="1:3" x14ac:dyDescent="0.25">
      <c r="A528" t="s">
        <v>4</v>
      </c>
      <c r="B528" s="1">
        <v>36892</v>
      </c>
      <c r="C528">
        <v>184221</v>
      </c>
    </row>
    <row r="529" spans="1:3" x14ac:dyDescent="0.25">
      <c r="A529" t="s">
        <v>3</v>
      </c>
      <c r="B529" s="1">
        <v>36923</v>
      </c>
      <c r="C529">
        <v>115640</v>
      </c>
    </row>
    <row r="530" spans="1:3" x14ac:dyDescent="0.25">
      <c r="A530" t="s">
        <v>3</v>
      </c>
      <c r="B530" s="1">
        <v>36951</v>
      </c>
      <c r="C530">
        <v>2033805</v>
      </c>
    </row>
    <row r="531" spans="1:3" x14ac:dyDescent="0.25">
      <c r="A531" t="s">
        <v>3</v>
      </c>
      <c r="B531" s="1">
        <v>36982</v>
      </c>
      <c r="C531">
        <v>2679394.0099999998</v>
      </c>
    </row>
    <row r="532" spans="1:3" x14ac:dyDescent="0.25">
      <c r="A532" t="s">
        <v>5</v>
      </c>
      <c r="B532" s="1">
        <v>37012</v>
      </c>
      <c r="C532">
        <v>269902.73</v>
      </c>
    </row>
    <row r="533" spans="1:3" x14ac:dyDescent="0.25">
      <c r="A533" t="s">
        <v>5</v>
      </c>
      <c r="B533" s="1">
        <v>37043</v>
      </c>
      <c r="C533">
        <v>396299</v>
      </c>
    </row>
    <row r="534" spans="1:3" x14ac:dyDescent="0.25">
      <c r="A534" t="s">
        <v>3</v>
      </c>
      <c r="B534" s="1">
        <v>37043</v>
      </c>
      <c r="C534">
        <v>6586247.7199999997</v>
      </c>
    </row>
    <row r="535" spans="1:3" x14ac:dyDescent="0.25">
      <c r="A535" t="s">
        <v>3</v>
      </c>
      <c r="B535" s="1">
        <v>37073</v>
      </c>
      <c r="C535">
        <v>9687567.1699999999</v>
      </c>
    </row>
    <row r="536" spans="1:3" x14ac:dyDescent="0.25">
      <c r="A536" t="s">
        <v>5</v>
      </c>
      <c r="B536" s="1">
        <v>37073</v>
      </c>
      <c r="C536">
        <v>7763.9</v>
      </c>
    </row>
    <row r="537" spans="1:3" x14ac:dyDescent="0.25">
      <c r="A537" t="s">
        <v>3</v>
      </c>
      <c r="B537" s="1">
        <v>37104</v>
      </c>
      <c r="C537">
        <v>14253564.02</v>
      </c>
    </row>
    <row r="538" spans="1:3" x14ac:dyDescent="0.25">
      <c r="A538" t="s">
        <v>5</v>
      </c>
      <c r="B538" s="1">
        <v>37135</v>
      </c>
      <c r="C538">
        <v>0</v>
      </c>
    </row>
    <row r="539" spans="1:3" x14ac:dyDescent="0.25">
      <c r="A539" t="s">
        <v>3</v>
      </c>
      <c r="B539" s="1">
        <v>37135</v>
      </c>
      <c r="C539">
        <v>3722336</v>
      </c>
    </row>
    <row r="540" spans="1:3" x14ac:dyDescent="0.25">
      <c r="A540" t="s">
        <v>5</v>
      </c>
      <c r="B540" s="1">
        <v>37165</v>
      </c>
      <c r="C540">
        <v>68499</v>
      </c>
    </row>
    <row r="541" spans="1:3" x14ac:dyDescent="0.25">
      <c r="A541" t="s">
        <v>3</v>
      </c>
      <c r="B541" s="1">
        <v>37196</v>
      </c>
      <c r="C541">
        <v>2954</v>
      </c>
    </row>
    <row r="542" spans="1:3" x14ac:dyDescent="0.25">
      <c r="A542" t="s">
        <v>5</v>
      </c>
      <c r="B542" s="1">
        <v>37226</v>
      </c>
      <c r="C542">
        <v>13709</v>
      </c>
    </row>
    <row r="543" spans="1:3" x14ac:dyDescent="0.25">
      <c r="A543" t="s">
        <v>3</v>
      </c>
      <c r="B543" s="1">
        <v>37226</v>
      </c>
      <c r="C543">
        <v>5208876.01</v>
      </c>
    </row>
    <row r="544" spans="1:3" x14ac:dyDescent="0.25">
      <c r="A544" t="s">
        <v>5</v>
      </c>
      <c r="B544" s="1">
        <v>37257</v>
      </c>
      <c r="C544">
        <v>0</v>
      </c>
    </row>
    <row r="545" spans="1:3" x14ac:dyDescent="0.25">
      <c r="A545" t="s">
        <v>3</v>
      </c>
      <c r="B545" s="1">
        <v>37316</v>
      </c>
      <c r="C545">
        <v>2273313.0099999998</v>
      </c>
    </row>
    <row r="546" spans="1:3" x14ac:dyDescent="0.25">
      <c r="A546" t="s">
        <v>5</v>
      </c>
      <c r="B546" s="1">
        <v>37377</v>
      </c>
      <c r="C546">
        <v>16508</v>
      </c>
    </row>
    <row r="547" spans="1:3" x14ac:dyDescent="0.25">
      <c r="A547" t="s">
        <v>3</v>
      </c>
      <c r="B547" s="1">
        <v>37377</v>
      </c>
      <c r="C547">
        <v>25254566</v>
      </c>
    </row>
    <row r="548" spans="1:3" x14ac:dyDescent="0.25">
      <c r="A548" t="s">
        <v>3</v>
      </c>
      <c r="B548" s="1">
        <v>37408</v>
      </c>
      <c r="C548">
        <v>24645537</v>
      </c>
    </row>
    <row r="549" spans="1:3" x14ac:dyDescent="0.25">
      <c r="A549" t="s">
        <v>5</v>
      </c>
      <c r="B549" s="1">
        <v>37408</v>
      </c>
      <c r="C549">
        <v>29485</v>
      </c>
    </row>
    <row r="550" spans="1:3" x14ac:dyDescent="0.25">
      <c r="A550" t="s">
        <v>3</v>
      </c>
      <c r="B550" s="1">
        <v>37469</v>
      </c>
      <c r="C550">
        <v>15300577.18</v>
      </c>
    </row>
    <row r="551" spans="1:3" x14ac:dyDescent="0.25">
      <c r="A551" t="s">
        <v>3</v>
      </c>
      <c r="B551" s="1">
        <v>37500</v>
      </c>
      <c r="C551">
        <v>1641466.01</v>
      </c>
    </row>
    <row r="552" spans="1:3" x14ac:dyDescent="0.25">
      <c r="A552" t="s">
        <v>5</v>
      </c>
      <c r="B552" s="1">
        <v>37500</v>
      </c>
      <c r="C552">
        <v>277945</v>
      </c>
    </row>
    <row r="553" spans="1:3" x14ac:dyDescent="0.25">
      <c r="A553" t="s">
        <v>3</v>
      </c>
      <c r="B553" s="1">
        <v>37530</v>
      </c>
      <c r="C553">
        <v>11144954.029999999</v>
      </c>
    </row>
    <row r="554" spans="1:3" x14ac:dyDescent="0.25">
      <c r="A554" t="s">
        <v>5</v>
      </c>
      <c r="B554" s="1">
        <v>37561</v>
      </c>
      <c r="C554">
        <v>9109.16</v>
      </c>
    </row>
    <row r="555" spans="1:3" x14ac:dyDescent="0.25">
      <c r="A555" t="s">
        <v>3</v>
      </c>
      <c r="B555" s="1">
        <v>37561</v>
      </c>
      <c r="C555">
        <v>81242.649999999994</v>
      </c>
    </row>
    <row r="556" spans="1:3" x14ac:dyDescent="0.25">
      <c r="A556" t="s">
        <v>5</v>
      </c>
      <c r="B556" s="1">
        <v>37591</v>
      </c>
      <c r="C556">
        <v>210277</v>
      </c>
    </row>
    <row r="557" spans="1:3" x14ac:dyDescent="0.25">
      <c r="A557" t="s">
        <v>3</v>
      </c>
      <c r="B557" s="1">
        <v>37591</v>
      </c>
      <c r="C557">
        <v>5438894.9500000002</v>
      </c>
    </row>
    <row r="558" spans="1:3" x14ac:dyDescent="0.25">
      <c r="A558" t="s">
        <v>3</v>
      </c>
      <c r="B558" s="1">
        <v>37622</v>
      </c>
      <c r="C558">
        <v>6283421.0099999998</v>
      </c>
    </row>
    <row r="559" spans="1:3" x14ac:dyDescent="0.25">
      <c r="A559" t="s">
        <v>3</v>
      </c>
      <c r="B559" s="1">
        <v>37681</v>
      </c>
      <c r="C559">
        <v>3671795</v>
      </c>
    </row>
    <row r="560" spans="1:3" x14ac:dyDescent="0.25">
      <c r="A560" t="s">
        <v>3</v>
      </c>
      <c r="B560" s="1">
        <v>37712</v>
      </c>
      <c r="C560">
        <v>7352435.2000000002</v>
      </c>
    </row>
    <row r="561" spans="1:3" x14ac:dyDescent="0.25">
      <c r="A561" t="s">
        <v>3</v>
      </c>
      <c r="B561" s="1">
        <v>37742</v>
      </c>
      <c r="C561">
        <v>11266884.02</v>
      </c>
    </row>
    <row r="562" spans="1:3" x14ac:dyDescent="0.25">
      <c r="A562" t="s">
        <v>3</v>
      </c>
      <c r="B562" s="1">
        <v>37773</v>
      </c>
      <c r="C562">
        <v>44196655</v>
      </c>
    </row>
    <row r="563" spans="1:3" x14ac:dyDescent="0.25">
      <c r="A563" t="s">
        <v>3</v>
      </c>
      <c r="B563" s="1">
        <v>37803</v>
      </c>
      <c r="C563">
        <v>38329803.600000001</v>
      </c>
    </row>
    <row r="564" spans="1:3" x14ac:dyDescent="0.25">
      <c r="A564" t="s">
        <v>3</v>
      </c>
      <c r="B564" s="1">
        <v>37834</v>
      </c>
      <c r="C564">
        <v>15768581</v>
      </c>
    </row>
    <row r="565" spans="1:3" x14ac:dyDescent="0.25">
      <c r="A565" t="s">
        <v>5</v>
      </c>
      <c r="B565" s="1">
        <v>37865</v>
      </c>
      <c r="C565">
        <v>425474</v>
      </c>
    </row>
    <row r="566" spans="1:3" x14ac:dyDescent="0.25">
      <c r="A566" t="s">
        <v>3</v>
      </c>
      <c r="B566" s="1">
        <v>37895</v>
      </c>
      <c r="C566">
        <v>2437152</v>
      </c>
    </row>
    <row r="567" spans="1:3" x14ac:dyDescent="0.25">
      <c r="A567" t="s">
        <v>5</v>
      </c>
      <c r="B567" s="1">
        <v>37895</v>
      </c>
      <c r="C567">
        <v>119384</v>
      </c>
    </row>
    <row r="568" spans="1:3" x14ac:dyDescent="0.25">
      <c r="A568" t="s">
        <v>5</v>
      </c>
      <c r="B568" s="1">
        <v>37926</v>
      </c>
      <c r="C568">
        <v>0</v>
      </c>
    </row>
    <row r="569" spans="1:3" x14ac:dyDescent="0.25">
      <c r="A569" t="s">
        <v>4</v>
      </c>
      <c r="B569" s="1">
        <v>37956</v>
      </c>
      <c r="C569">
        <v>-1666</v>
      </c>
    </row>
    <row r="570" spans="1:3" x14ac:dyDescent="0.25">
      <c r="A570" t="s">
        <v>3</v>
      </c>
      <c r="B570" s="1">
        <v>37956</v>
      </c>
      <c r="C570">
        <v>9075121.7699999996</v>
      </c>
    </row>
    <row r="571" spans="1:3" x14ac:dyDescent="0.25">
      <c r="A571" t="s">
        <v>5</v>
      </c>
      <c r="B571" s="1">
        <v>37956</v>
      </c>
      <c r="C571">
        <v>23972</v>
      </c>
    </row>
    <row r="572" spans="1:3" x14ac:dyDescent="0.25">
      <c r="A572" t="s">
        <v>3</v>
      </c>
      <c r="B572" s="1">
        <v>37987</v>
      </c>
      <c r="C572">
        <v>7647047</v>
      </c>
    </row>
    <row r="573" spans="1:3" x14ac:dyDescent="0.25">
      <c r="A573" t="s">
        <v>3</v>
      </c>
      <c r="B573" s="1">
        <v>38018</v>
      </c>
      <c r="C573">
        <v>1831041</v>
      </c>
    </row>
    <row r="574" spans="1:3" x14ac:dyDescent="0.25">
      <c r="A574" t="s">
        <v>3</v>
      </c>
      <c r="B574" s="1">
        <v>38047</v>
      </c>
      <c r="C574">
        <v>8039125.0099999998</v>
      </c>
    </row>
    <row r="575" spans="1:3" x14ac:dyDescent="0.25">
      <c r="A575" t="s">
        <v>4</v>
      </c>
      <c r="B575" s="1">
        <v>38047</v>
      </c>
      <c r="C575">
        <v>0</v>
      </c>
    </row>
    <row r="576" spans="1:3" x14ac:dyDescent="0.25">
      <c r="A576" t="s">
        <v>3</v>
      </c>
      <c r="B576" s="1">
        <v>38078</v>
      </c>
      <c r="C576">
        <v>2775687.02</v>
      </c>
    </row>
    <row r="577" spans="1:3" x14ac:dyDescent="0.25">
      <c r="A577" t="s">
        <v>3</v>
      </c>
      <c r="B577" s="1">
        <v>38108</v>
      </c>
      <c r="C577">
        <v>21819802.010000002</v>
      </c>
    </row>
    <row r="578" spans="1:3" x14ac:dyDescent="0.25">
      <c r="A578" t="s">
        <v>3</v>
      </c>
      <c r="B578" s="1">
        <v>38139</v>
      </c>
      <c r="C578">
        <v>16505777.93</v>
      </c>
    </row>
    <row r="579" spans="1:3" x14ac:dyDescent="0.25">
      <c r="A579" t="s">
        <v>3</v>
      </c>
      <c r="B579" s="1">
        <v>38169</v>
      </c>
      <c r="C579">
        <v>2388014.98</v>
      </c>
    </row>
    <row r="580" spans="1:3" x14ac:dyDescent="0.25">
      <c r="A580" t="s">
        <v>3</v>
      </c>
      <c r="B580" s="1">
        <v>38200</v>
      </c>
      <c r="C580">
        <v>15054</v>
      </c>
    </row>
    <row r="581" spans="1:3" x14ac:dyDescent="0.25">
      <c r="A581" t="s">
        <v>3</v>
      </c>
      <c r="B581" s="1">
        <v>38231</v>
      </c>
      <c r="C581">
        <v>1433750</v>
      </c>
    </row>
    <row r="582" spans="1:3" x14ac:dyDescent="0.25">
      <c r="A582" t="s">
        <v>3</v>
      </c>
      <c r="B582" s="1">
        <v>38292</v>
      </c>
      <c r="C582">
        <v>1372518.01</v>
      </c>
    </row>
    <row r="583" spans="1:3" x14ac:dyDescent="0.25">
      <c r="A583" t="s">
        <v>3</v>
      </c>
      <c r="B583" s="1">
        <v>38322</v>
      </c>
      <c r="C583">
        <v>5615917.2000000002</v>
      </c>
    </row>
    <row r="584" spans="1:3" x14ac:dyDescent="0.25">
      <c r="A584" t="s">
        <v>3</v>
      </c>
      <c r="B584" s="1">
        <v>38353</v>
      </c>
      <c r="C584">
        <v>92.01</v>
      </c>
    </row>
    <row r="585" spans="1:3" x14ac:dyDescent="0.25">
      <c r="A585" t="s">
        <v>5</v>
      </c>
      <c r="B585" s="1">
        <v>38384</v>
      </c>
      <c r="C585">
        <v>1860</v>
      </c>
    </row>
    <row r="586" spans="1:3" x14ac:dyDescent="0.25">
      <c r="A586" t="s">
        <v>3</v>
      </c>
      <c r="B586" s="1">
        <v>38412</v>
      </c>
      <c r="C586">
        <v>564445</v>
      </c>
    </row>
    <row r="587" spans="1:3" x14ac:dyDescent="0.25">
      <c r="A587" t="s">
        <v>5</v>
      </c>
      <c r="B587" s="1">
        <v>38443</v>
      </c>
      <c r="C587">
        <v>0</v>
      </c>
    </row>
    <row r="588" spans="1:3" x14ac:dyDescent="0.25">
      <c r="A588" t="s">
        <v>4</v>
      </c>
      <c r="B588" s="1">
        <v>38443</v>
      </c>
      <c r="C588">
        <v>0</v>
      </c>
    </row>
    <row r="589" spans="1:3" x14ac:dyDescent="0.25">
      <c r="A589" t="s">
        <v>3</v>
      </c>
      <c r="B589" s="1">
        <v>38443</v>
      </c>
      <c r="C589">
        <v>2916195.01</v>
      </c>
    </row>
    <row r="590" spans="1:3" x14ac:dyDescent="0.25">
      <c r="A590" t="s">
        <v>3</v>
      </c>
      <c r="B590" s="1">
        <v>38473</v>
      </c>
      <c r="C590">
        <v>888769.01</v>
      </c>
    </row>
    <row r="591" spans="1:3" x14ac:dyDescent="0.25">
      <c r="A591" t="s">
        <v>5</v>
      </c>
      <c r="B591" s="1">
        <v>38504</v>
      </c>
      <c r="C591">
        <v>0</v>
      </c>
    </row>
    <row r="592" spans="1:3" x14ac:dyDescent="0.25">
      <c r="A592" t="s">
        <v>4</v>
      </c>
      <c r="B592" s="1">
        <v>38504</v>
      </c>
      <c r="C592">
        <v>1457</v>
      </c>
    </row>
    <row r="593" spans="1:3" x14ac:dyDescent="0.25">
      <c r="A593" t="s">
        <v>3</v>
      </c>
      <c r="B593" s="1">
        <v>38504</v>
      </c>
      <c r="C593">
        <v>22462699.030000001</v>
      </c>
    </row>
    <row r="594" spans="1:3" x14ac:dyDescent="0.25">
      <c r="A594" t="s">
        <v>3</v>
      </c>
      <c r="B594" s="1">
        <v>38534</v>
      </c>
      <c r="C594">
        <v>5623114</v>
      </c>
    </row>
    <row r="595" spans="1:3" x14ac:dyDescent="0.25">
      <c r="A595" t="s">
        <v>5</v>
      </c>
      <c r="B595" s="1">
        <v>38596</v>
      </c>
      <c r="C595">
        <v>0</v>
      </c>
    </row>
    <row r="596" spans="1:3" x14ac:dyDescent="0.25">
      <c r="A596" t="s">
        <v>3</v>
      </c>
      <c r="B596" s="1">
        <v>38596</v>
      </c>
      <c r="C596">
        <v>991424</v>
      </c>
    </row>
    <row r="597" spans="1:3" x14ac:dyDescent="0.25">
      <c r="A597" t="s">
        <v>5</v>
      </c>
      <c r="B597" s="1">
        <v>38626</v>
      </c>
      <c r="C597">
        <v>4586</v>
      </c>
    </row>
    <row r="598" spans="1:3" x14ac:dyDescent="0.25">
      <c r="A598" t="s">
        <v>3</v>
      </c>
      <c r="B598" s="1">
        <v>38626</v>
      </c>
      <c r="C598">
        <v>234862</v>
      </c>
    </row>
    <row r="599" spans="1:3" x14ac:dyDescent="0.25">
      <c r="A599" t="s">
        <v>3</v>
      </c>
      <c r="B599" s="1">
        <v>38657</v>
      </c>
      <c r="C599">
        <v>914639</v>
      </c>
    </row>
    <row r="600" spans="1:3" x14ac:dyDescent="0.25">
      <c r="A600" t="s">
        <v>5</v>
      </c>
      <c r="B600" s="1">
        <v>38657</v>
      </c>
      <c r="C600">
        <v>54609</v>
      </c>
    </row>
    <row r="601" spans="1:3" x14ac:dyDescent="0.25">
      <c r="A601" t="s">
        <v>3</v>
      </c>
      <c r="B601" s="1">
        <v>38687</v>
      </c>
      <c r="C601">
        <v>2249388</v>
      </c>
    </row>
    <row r="602" spans="1:3" x14ac:dyDescent="0.25">
      <c r="A602" t="s">
        <v>5</v>
      </c>
      <c r="B602" s="1">
        <v>38687</v>
      </c>
      <c r="C602">
        <v>409679</v>
      </c>
    </row>
    <row r="603" spans="1:3" x14ac:dyDescent="0.25">
      <c r="A603" t="s">
        <v>5</v>
      </c>
      <c r="B603" s="1">
        <v>38718</v>
      </c>
      <c r="C603">
        <v>57358</v>
      </c>
    </row>
    <row r="604" spans="1:3" x14ac:dyDescent="0.25">
      <c r="A604" t="s">
        <v>3</v>
      </c>
      <c r="B604" s="1">
        <v>38718</v>
      </c>
      <c r="C604">
        <v>4882509.8099999996</v>
      </c>
    </row>
    <row r="605" spans="1:3" x14ac:dyDescent="0.25">
      <c r="A605" t="s">
        <v>5</v>
      </c>
      <c r="B605" s="1">
        <v>38749</v>
      </c>
      <c r="C605">
        <v>28758.2</v>
      </c>
    </row>
    <row r="606" spans="1:3" x14ac:dyDescent="0.25">
      <c r="A606" t="s">
        <v>3</v>
      </c>
      <c r="B606" s="1">
        <v>38749</v>
      </c>
      <c r="C606">
        <v>3158059.8</v>
      </c>
    </row>
    <row r="607" spans="1:3" x14ac:dyDescent="0.25">
      <c r="A607" t="s">
        <v>5</v>
      </c>
      <c r="B607" s="1">
        <v>38777</v>
      </c>
      <c r="C607">
        <v>48813</v>
      </c>
    </row>
    <row r="608" spans="1:3" x14ac:dyDescent="0.25">
      <c r="A608" t="s">
        <v>3</v>
      </c>
      <c r="B608" s="1">
        <v>38777</v>
      </c>
      <c r="C608">
        <v>3352928</v>
      </c>
    </row>
    <row r="609" spans="1:3" x14ac:dyDescent="0.25">
      <c r="A609" t="s">
        <v>3</v>
      </c>
      <c r="B609" s="1">
        <v>38808</v>
      </c>
      <c r="C609">
        <v>11832815.119999999</v>
      </c>
    </row>
    <row r="610" spans="1:3" x14ac:dyDescent="0.25">
      <c r="A610" t="s">
        <v>3</v>
      </c>
      <c r="B610" s="1">
        <v>38838</v>
      </c>
      <c r="C610">
        <v>2684520</v>
      </c>
    </row>
    <row r="611" spans="1:3" x14ac:dyDescent="0.25">
      <c r="A611" t="s">
        <v>5</v>
      </c>
      <c r="B611" s="1">
        <v>38869</v>
      </c>
      <c r="C611">
        <v>1589198</v>
      </c>
    </row>
    <row r="612" spans="1:3" x14ac:dyDescent="0.25">
      <c r="A612" t="s">
        <v>3</v>
      </c>
      <c r="B612" s="1">
        <v>38869</v>
      </c>
      <c r="C612">
        <v>3005063</v>
      </c>
    </row>
    <row r="613" spans="1:3" x14ac:dyDescent="0.25">
      <c r="A613" t="s">
        <v>3</v>
      </c>
      <c r="B613" s="1">
        <v>38899</v>
      </c>
      <c r="C613">
        <v>14581.42</v>
      </c>
    </row>
    <row r="614" spans="1:3" x14ac:dyDescent="0.25">
      <c r="A614" t="s">
        <v>3</v>
      </c>
      <c r="B614" s="1">
        <v>38930</v>
      </c>
      <c r="C614">
        <v>547.4</v>
      </c>
    </row>
    <row r="615" spans="1:3" x14ac:dyDescent="0.25">
      <c r="A615" t="s">
        <v>3</v>
      </c>
      <c r="B615" s="1">
        <v>38961</v>
      </c>
      <c r="C615">
        <v>8305.4699999999993</v>
      </c>
    </row>
    <row r="616" spans="1:3" x14ac:dyDescent="0.25">
      <c r="A616" t="s">
        <v>5</v>
      </c>
      <c r="B616" s="1">
        <v>38961</v>
      </c>
      <c r="C616">
        <v>24489.56</v>
      </c>
    </row>
    <row r="617" spans="1:3" x14ac:dyDescent="0.25">
      <c r="A617" t="s">
        <v>5</v>
      </c>
      <c r="B617" s="1">
        <v>38991</v>
      </c>
      <c r="C617">
        <v>339894.51</v>
      </c>
    </row>
    <row r="618" spans="1:3" x14ac:dyDescent="0.25">
      <c r="A618" t="s">
        <v>3</v>
      </c>
      <c r="B618" s="1">
        <v>38991</v>
      </c>
      <c r="C618">
        <v>508166.61</v>
      </c>
    </row>
    <row r="619" spans="1:3" x14ac:dyDescent="0.25">
      <c r="A619" t="s">
        <v>4</v>
      </c>
      <c r="B619" s="1">
        <v>38991</v>
      </c>
      <c r="C619">
        <v>81948</v>
      </c>
    </row>
    <row r="620" spans="1:3" x14ac:dyDescent="0.25">
      <c r="A620" t="s">
        <v>3</v>
      </c>
      <c r="B620" s="1">
        <v>39022</v>
      </c>
      <c r="C620">
        <v>2160573.21</v>
      </c>
    </row>
    <row r="621" spans="1:3" x14ac:dyDescent="0.25">
      <c r="A621" t="s">
        <v>3</v>
      </c>
      <c r="B621" s="1">
        <v>39052</v>
      </c>
      <c r="C621">
        <v>2368792</v>
      </c>
    </row>
    <row r="622" spans="1:3" x14ac:dyDescent="0.25">
      <c r="A622" t="s">
        <v>5</v>
      </c>
      <c r="B622" s="1">
        <v>39052</v>
      </c>
      <c r="C622">
        <v>361351</v>
      </c>
    </row>
    <row r="623" spans="1:3" x14ac:dyDescent="0.25">
      <c r="A623" t="s">
        <v>3</v>
      </c>
      <c r="B623" s="1">
        <v>39083</v>
      </c>
      <c r="C623">
        <v>111</v>
      </c>
    </row>
    <row r="624" spans="1:3" x14ac:dyDescent="0.25">
      <c r="A624" t="s">
        <v>5</v>
      </c>
      <c r="B624" s="1">
        <v>39083</v>
      </c>
      <c r="C624">
        <v>61746</v>
      </c>
    </row>
    <row r="625" spans="1:3" x14ac:dyDescent="0.25">
      <c r="A625" t="s">
        <v>4</v>
      </c>
      <c r="B625" s="1">
        <v>39083</v>
      </c>
      <c r="C625">
        <v>0</v>
      </c>
    </row>
    <row r="626" spans="1:3" x14ac:dyDescent="0.25">
      <c r="A626" t="s">
        <v>3</v>
      </c>
      <c r="B626" s="1">
        <v>39114</v>
      </c>
      <c r="C626">
        <v>89413</v>
      </c>
    </row>
    <row r="627" spans="1:3" x14ac:dyDescent="0.25">
      <c r="A627" t="s">
        <v>5</v>
      </c>
      <c r="B627" s="1">
        <v>39142</v>
      </c>
      <c r="C627">
        <v>338245</v>
      </c>
    </row>
    <row r="628" spans="1:3" x14ac:dyDescent="0.25">
      <c r="A628" t="s">
        <v>3</v>
      </c>
      <c r="B628" s="1">
        <v>39142</v>
      </c>
      <c r="C628">
        <v>293008.03000000003</v>
      </c>
    </row>
    <row r="629" spans="1:3" x14ac:dyDescent="0.25">
      <c r="A629" t="s">
        <v>5</v>
      </c>
      <c r="B629" s="1">
        <v>39173</v>
      </c>
      <c r="C629">
        <v>179106.2</v>
      </c>
    </row>
    <row r="630" spans="1:3" x14ac:dyDescent="0.25">
      <c r="A630" t="s">
        <v>3</v>
      </c>
      <c r="B630" s="1">
        <v>39203</v>
      </c>
      <c r="C630">
        <v>5112466.08</v>
      </c>
    </row>
    <row r="631" spans="1:3" x14ac:dyDescent="0.25">
      <c r="A631" t="s">
        <v>5</v>
      </c>
      <c r="B631" s="1">
        <v>39203</v>
      </c>
      <c r="C631">
        <v>440160.13</v>
      </c>
    </row>
    <row r="632" spans="1:3" x14ac:dyDescent="0.25">
      <c r="A632" t="s">
        <v>3</v>
      </c>
      <c r="B632" s="1">
        <v>39234</v>
      </c>
      <c r="C632">
        <v>6264467.0199999996</v>
      </c>
    </row>
    <row r="633" spans="1:3" x14ac:dyDescent="0.25">
      <c r="A633" t="s">
        <v>5</v>
      </c>
      <c r="B633" s="1">
        <v>39234</v>
      </c>
      <c r="C633">
        <v>262510</v>
      </c>
    </row>
    <row r="634" spans="1:3" x14ac:dyDescent="0.25">
      <c r="A634" t="s">
        <v>3</v>
      </c>
      <c r="B634" s="1">
        <v>39264</v>
      </c>
      <c r="C634">
        <v>49152</v>
      </c>
    </row>
    <row r="635" spans="1:3" x14ac:dyDescent="0.25">
      <c r="A635" t="s">
        <v>5</v>
      </c>
      <c r="B635" s="1">
        <v>39264</v>
      </c>
      <c r="C635">
        <v>284191</v>
      </c>
    </row>
    <row r="636" spans="1:3" x14ac:dyDescent="0.25">
      <c r="A636" t="s">
        <v>4</v>
      </c>
      <c r="B636" s="1">
        <v>39295</v>
      </c>
      <c r="C636">
        <v>200366.54</v>
      </c>
    </row>
    <row r="637" spans="1:3" x14ac:dyDescent="0.25">
      <c r="A637" t="s">
        <v>3</v>
      </c>
      <c r="B637" s="1">
        <v>39295</v>
      </c>
      <c r="C637">
        <v>1018.47</v>
      </c>
    </row>
    <row r="638" spans="1:3" x14ac:dyDescent="0.25">
      <c r="A638" t="s">
        <v>5</v>
      </c>
      <c r="B638" s="1">
        <v>39326</v>
      </c>
      <c r="C638">
        <v>187317</v>
      </c>
    </row>
    <row r="639" spans="1:3" x14ac:dyDescent="0.25">
      <c r="A639" t="s">
        <v>3</v>
      </c>
      <c r="B639" s="1">
        <v>39356</v>
      </c>
      <c r="C639">
        <v>986393.02</v>
      </c>
    </row>
    <row r="640" spans="1:3" x14ac:dyDescent="0.25">
      <c r="A640" t="s">
        <v>5</v>
      </c>
      <c r="B640" s="1">
        <v>39356</v>
      </c>
      <c r="C640">
        <v>296801</v>
      </c>
    </row>
    <row r="641" spans="1:3" x14ac:dyDescent="0.25">
      <c r="A641" t="s">
        <v>3</v>
      </c>
      <c r="B641" s="1">
        <v>39387</v>
      </c>
      <c r="C641">
        <v>12945</v>
      </c>
    </row>
    <row r="642" spans="1:3" x14ac:dyDescent="0.25">
      <c r="A642" t="s">
        <v>3</v>
      </c>
      <c r="B642" s="1">
        <v>39417</v>
      </c>
      <c r="C642">
        <v>8064580.8200000003</v>
      </c>
    </row>
    <row r="643" spans="1:3" x14ac:dyDescent="0.25">
      <c r="A643" t="s">
        <v>5</v>
      </c>
      <c r="B643" s="1">
        <v>39417</v>
      </c>
      <c r="C643">
        <v>521344.18</v>
      </c>
    </row>
    <row r="644" spans="1:3" x14ac:dyDescent="0.25">
      <c r="A644" t="s">
        <v>5</v>
      </c>
      <c r="B644" s="1">
        <v>39448</v>
      </c>
      <c r="C644">
        <v>185454</v>
      </c>
    </row>
    <row r="645" spans="1:3" x14ac:dyDescent="0.25">
      <c r="A645" t="s">
        <v>5</v>
      </c>
      <c r="B645" s="1">
        <v>39508</v>
      </c>
      <c r="C645">
        <v>319678</v>
      </c>
    </row>
    <row r="646" spans="1:3" x14ac:dyDescent="0.25">
      <c r="A646" t="s">
        <v>3</v>
      </c>
      <c r="B646" s="1">
        <v>39508</v>
      </c>
      <c r="C646">
        <v>873243</v>
      </c>
    </row>
    <row r="647" spans="1:3" x14ac:dyDescent="0.25">
      <c r="A647" t="s">
        <v>5</v>
      </c>
      <c r="B647" s="1">
        <v>39539</v>
      </c>
      <c r="C647">
        <v>120563</v>
      </c>
    </row>
    <row r="648" spans="1:3" x14ac:dyDescent="0.25">
      <c r="A648" t="s">
        <v>3</v>
      </c>
      <c r="B648" s="1">
        <v>39539</v>
      </c>
      <c r="C648">
        <v>461286</v>
      </c>
    </row>
    <row r="649" spans="1:3" x14ac:dyDescent="0.25">
      <c r="A649" t="s">
        <v>5</v>
      </c>
      <c r="B649" s="1">
        <v>39569</v>
      </c>
      <c r="C649">
        <v>1609671</v>
      </c>
    </row>
    <row r="650" spans="1:3" x14ac:dyDescent="0.25">
      <c r="A650" t="s">
        <v>3</v>
      </c>
      <c r="B650" s="1">
        <v>39600</v>
      </c>
      <c r="C650">
        <v>1838064.01</v>
      </c>
    </row>
    <row r="651" spans="1:3" x14ac:dyDescent="0.25">
      <c r="A651" t="s">
        <v>3</v>
      </c>
      <c r="B651" s="1">
        <v>39630</v>
      </c>
      <c r="C651">
        <v>4683144.01</v>
      </c>
    </row>
    <row r="652" spans="1:3" x14ac:dyDescent="0.25">
      <c r="A652" t="s">
        <v>5</v>
      </c>
      <c r="B652" s="1">
        <v>39630</v>
      </c>
      <c r="C652">
        <v>947345</v>
      </c>
    </row>
    <row r="653" spans="1:3" x14ac:dyDescent="0.25">
      <c r="A653" t="s">
        <v>3</v>
      </c>
      <c r="B653" s="1">
        <v>39661</v>
      </c>
      <c r="C653">
        <v>33029.17</v>
      </c>
    </row>
    <row r="654" spans="1:3" x14ac:dyDescent="0.25">
      <c r="A654" t="s">
        <v>5</v>
      </c>
      <c r="B654" s="1">
        <v>39661</v>
      </c>
      <c r="C654">
        <v>281407.90999999997</v>
      </c>
    </row>
    <row r="655" spans="1:3" x14ac:dyDescent="0.25">
      <c r="A655" t="s">
        <v>3</v>
      </c>
      <c r="B655" s="1">
        <v>39692</v>
      </c>
      <c r="C655">
        <v>2551276</v>
      </c>
    </row>
    <row r="656" spans="1:3" x14ac:dyDescent="0.25">
      <c r="A656" t="s">
        <v>5</v>
      </c>
      <c r="B656" s="1">
        <v>39692</v>
      </c>
      <c r="C656">
        <v>226301</v>
      </c>
    </row>
    <row r="657" spans="1:3" x14ac:dyDescent="0.25">
      <c r="A657" t="s">
        <v>3</v>
      </c>
      <c r="B657" s="1">
        <v>39722</v>
      </c>
      <c r="C657">
        <v>5714799.8700000001</v>
      </c>
    </row>
    <row r="658" spans="1:3" x14ac:dyDescent="0.25">
      <c r="A658" t="s">
        <v>5</v>
      </c>
      <c r="B658" s="1">
        <v>39722</v>
      </c>
      <c r="C658">
        <v>606282</v>
      </c>
    </row>
    <row r="659" spans="1:3" x14ac:dyDescent="0.25">
      <c r="A659" t="s">
        <v>3</v>
      </c>
      <c r="B659" s="1">
        <v>39753</v>
      </c>
      <c r="C659">
        <v>492718</v>
      </c>
    </row>
    <row r="660" spans="1:3" x14ac:dyDescent="0.25">
      <c r="A660" t="s">
        <v>5</v>
      </c>
      <c r="B660" s="1">
        <v>39783</v>
      </c>
      <c r="C660">
        <v>2004777</v>
      </c>
    </row>
    <row r="661" spans="1:3" x14ac:dyDescent="0.25">
      <c r="A661" t="s">
        <v>3</v>
      </c>
      <c r="B661" s="1">
        <v>39814</v>
      </c>
      <c r="C661">
        <v>1833722</v>
      </c>
    </row>
    <row r="662" spans="1:3" x14ac:dyDescent="0.25">
      <c r="A662" t="s">
        <v>5</v>
      </c>
      <c r="B662" s="1">
        <v>39845</v>
      </c>
      <c r="C662">
        <v>225077</v>
      </c>
    </row>
    <row r="663" spans="1:3" x14ac:dyDescent="0.25">
      <c r="A663" t="s">
        <v>3</v>
      </c>
      <c r="B663" s="1">
        <v>39845</v>
      </c>
      <c r="C663">
        <v>867570</v>
      </c>
    </row>
    <row r="664" spans="1:3" x14ac:dyDescent="0.25">
      <c r="A664" t="s">
        <v>3</v>
      </c>
      <c r="B664" s="1">
        <v>39873</v>
      </c>
      <c r="C664">
        <v>14615.72</v>
      </c>
    </row>
    <row r="665" spans="1:3" x14ac:dyDescent="0.25">
      <c r="A665" t="s">
        <v>4</v>
      </c>
      <c r="B665" s="1">
        <v>39873</v>
      </c>
      <c r="C665">
        <v>715</v>
      </c>
    </row>
    <row r="666" spans="1:3" x14ac:dyDescent="0.25">
      <c r="A666" t="s">
        <v>5</v>
      </c>
      <c r="B666" s="1">
        <v>39873</v>
      </c>
      <c r="C666">
        <v>38948</v>
      </c>
    </row>
    <row r="667" spans="1:3" x14ac:dyDescent="0.25">
      <c r="A667" t="s">
        <v>3</v>
      </c>
      <c r="B667" s="1">
        <v>39904</v>
      </c>
      <c r="C667">
        <v>5902756.9199999999</v>
      </c>
    </row>
    <row r="668" spans="1:3" x14ac:dyDescent="0.25">
      <c r="A668" t="s">
        <v>4</v>
      </c>
      <c r="B668" s="1">
        <v>39904</v>
      </c>
      <c r="C668">
        <v>59663.33</v>
      </c>
    </row>
    <row r="669" spans="1:3" x14ac:dyDescent="0.25">
      <c r="A669" t="s">
        <v>5</v>
      </c>
      <c r="B669" s="1">
        <v>39904</v>
      </c>
      <c r="C669">
        <v>388514.79</v>
      </c>
    </row>
    <row r="670" spans="1:3" x14ac:dyDescent="0.25">
      <c r="A670" t="s">
        <v>3</v>
      </c>
      <c r="B670" s="1">
        <v>39934</v>
      </c>
      <c r="C670">
        <v>10965051.029999999</v>
      </c>
    </row>
    <row r="671" spans="1:3" x14ac:dyDescent="0.25">
      <c r="A671" t="s">
        <v>5</v>
      </c>
      <c r="B671" s="1">
        <v>39934</v>
      </c>
      <c r="C671">
        <v>84371</v>
      </c>
    </row>
    <row r="672" spans="1:3" x14ac:dyDescent="0.25">
      <c r="A672" t="s">
        <v>4</v>
      </c>
      <c r="B672" s="1">
        <v>39965</v>
      </c>
      <c r="C672">
        <v>145355.01</v>
      </c>
    </row>
    <row r="673" spans="1:3" x14ac:dyDescent="0.25">
      <c r="A673" t="s">
        <v>3</v>
      </c>
      <c r="B673" s="1">
        <v>39965</v>
      </c>
      <c r="C673">
        <v>5790328.7800000003</v>
      </c>
    </row>
    <row r="674" spans="1:3" x14ac:dyDescent="0.25">
      <c r="A674" t="s">
        <v>5</v>
      </c>
      <c r="B674" s="1">
        <v>39995</v>
      </c>
      <c r="C674">
        <v>0</v>
      </c>
    </row>
    <row r="675" spans="1:3" x14ac:dyDescent="0.25">
      <c r="A675" t="s">
        <v>3</v>
      </c>
      <c r="B675" s="1">
        <v>39995</v>
      </c>
      <c r="C675">
        <v>5041877</v>
      </c>
    </row>
    <row r="676" spans="1:3" x14ac:dyDescent="0.25">
      <c r="A676" t="s">
        <v>3</v>
      </c>
      <c r="B676" s="1">
        <v>40026</v>
      </c>
      <c r="C676">
        <v>1669380</v>
      </c>
    </row>
    <row r="677" spans="1:3" x14ac:dyDescent="0.25">
      <c r="A677" t="s">
        <v>3</v>
      </c>
      <c r="B677" s="1">
        <v>40057</v>
      </c>
      <c r="C677">
        <v>53705.49</v>
      </c>
    </row>
    <row r="678" spans="1:3" x14ac:dyDescent="0.25">
      <c r="A678" t="s">
        <v>3</v>
      </c>
      <c r="B678" s="1">
        <v>40087</v>
      </c>
      <c r="C678">
        <v>1374778</v>
      </c>
    </row>
    <row r="679" spans="1:3" x14ac:dyDescent="0.25">
      <c r="A679" t="s">
        <v>3</v>
      </c>
      <c r="B679" s="1">
        <v>40118</v>
      </c>
      <c r="C679">
        <v>1725</v>
      </c>
    </row>
    <row r="680" spans="1:3" x14ac:dyDescent="0.25">
      <c r="A680" t="s">
        <v>5</v>
      </c>
      <c r="B680" s="1">
        <v>40118</v>
      </c>
      <c r="C680">
        <v>549730.06000000006</v>
      </c>
    </row>
    <row r="681" spans="1:3" x14ac:dyDescent="0.25">
      <c r="A681" t="s">
        <v>4</v>
      </c>
      <c r="B681" s="1">
        <v>40148</v>
      </c>
      <c r="C681">
        <v>54375</v>
      </c>
    </row>
    <row r="682" spans="1:3" x14ac:dyDescent="0.25">
      <c r="A682" t="s">
        <v>3</v>
      </c>
      <c r="B682" s="1">
        <v>40148</v>
      </c>
      <c r="C682">
        <v>43446</v>
      </c>
    </row>
    <row r="683" spans="1:3" x14ac:dyDescent="0.25">
      <c r="A683" t="s">
        <v>5</v>
      </c>
      <c r="B683" s="1">
        <v>40148</v>
      </c>
      <c r="C683">
        <v>1416348</v>
      </c>
    </row>
    <row r="684" spans="1:3" x14ac:dyDescent="0.25">
      <c r="A684" t="s">
        <v>3</v>
      </c>
      <c r="B684" s="1">
        <v>40179</v>
      </c>
      <c r="C684">
        <v>3147420.9</v>
      </c>
    </row>
    <row r="685" spans="1:3" x14ac:dyDescent="0.25">
      <c r="A685" t="s">
        <v>5</v>
      </c>
      <c r="B685" s="1">
        <v>40179</v>
      </c>
      <c r="C685">
        <v>168790</v>
      </c>
    </row>
    <row r="686" spans="1:3" x14ac:dyDescent="0.25">
      <c r="A686" t="s">
        <v>3</v>
      </c>
      <c r="B686" s="1">
        <v>40210</v>
      </c>
      <c r="C686">
        <v>6359620.0499999998</v>
      </c>
    </row>
    <row r="687" spans="1:3" x14ac:dyDescent="0.25">
      <c r="A687" t="s">
        <v>4</v>
      </c>
      <c r="B687" s="1">
        <v>40238</v>
      </c>
      <c r="C687">
        <v>0</v>
      </c>
    </row>
    <row r="688" spans="1:3" x14ac:dyDescent="0.25">
      <c r="A688" t="s">
        <v>5</v>
      </c>
      <c r="B688" s="1">
        <v>40238</v>
      </c>
      <c r="C688">
        <v>665051</v>
      </c>
    </row>
    <row r="689" spans="1:3" x14ac:dyDescent="0.25">
      <c r="A689" t="s">
        <v>3</v>
      </c>
      <c r="B689" s="1">
        <v>40238</v>
      </c>
      <c r="C689">
        <v>2035339</v>
      </c>
    </row>
    <row r="690" spans="1:3" x14ac:dyDescent="0.25">
      <c r="A690" t="s">
        <v>5</v>
      </c>
      <c r="B690" s="1">
        <v>40269</v>
      </c>
      <c r="C690">
        <v>277787</v>
      </c>
    </row>
    <row r="691" spans="1:3" x14ac:dyDescent="0.25">
      <c r="A691" t="s">
        <v>4</v>
      </c>
      <c r="B691" s="1">
        <v>40299</v>
      </c>
      <c r="C691">
        <v>0</v>
      </c>
    </row>
    <row r="692" spans="1:3" x14ac:dyDescent="0.25">
      <c r="A692" t="s">
        <v>3</v>
      </c>
      <c r="B692" s="1">
        <v>40299</v>
      </c>
      <c r="C692">
        <v>3789767</v>
      </c>
    </row>
    <row r="693" spans="1:3" x14ac:dyDescent="0.25">
      <c r="A693" t="s">
        <v>5</v>
      </c>
      <c r="B693" s="1">
        <v>40299</v>
      </c>
      <c r="C693">
        <v>262200</v>
      </c>
    </row>
    <row r="694" spans="1:3" x14ac:dyDescent="0.25">
      <c r="A694" t="s">
        <v>5</v>
      </c>
      <c r="B694" s="1">
        <v>40330</v>
      </c>
      <c r="C694">
        <v>6037.3</v>
      </c>
    </row>
    <row r="695" spans="1:3" x14ac:dyDescent="0.25">
      <c r="A695" t="s">
        <v>3</v>
      </c>
      <c r="B695" s="1">
        <v>40330</v>
      </c>
      <c r="C695">
        <v>6263682.1600000001</v>
      </c>
    </row>
    <row r="696" spans="1:3" x14ac:dyDescent="0.25">
      <c r="A696" t="s">
        <v>4</v>
      </c>
      <c r="B696" s="1">
        <v>40330</v>
      </c>
      <c r="C696">
        <v>187722.53</v>
      </c>
    </row>
    <row r="697" spans="1:3" x14ac:dyDescent="0.25">
      <c r="A697" t="s">
        <v>5</v>
      </c>
      <c r="B697" s="1">
        <v>40360</v>
      </c>
      <c r="C697">
        <v>2849</v>
      </c>
    </row>
    <row r="698" spans="1:3" x14ac:dyDescent="0.25">
      <c r="A698" t="s">
        <v>3</v>
      </c>
      <c r="B698" s="1">
        <v>40360</v>
      </c>
      <c r="C698">
        <v>4418311</v>
      </c>
    </row>
    <row r="699" spans="1:3" x14ac:dyDescent="0.25">
      <c r="A699" t="s">
        <v>3</v>
      </c>
      <c r="B699" s="1">
        <v>40391</v>
      </c>
      <c r="C699">
        <v>4117459</v>
      </c>
    </row>
    <row r="700" spans="1:3" x14ac:dyDescent="0.25">
      <c r="A700" t="s">
        <v>4</v>
      </c>
      <c r="B700" s="1">
        <v>40391</v>
      </c>
      <c r="C700">
        <v>21338</v>
      </c>
    </row>
    <row r="701" spans="1:3" x14ac:dyDescent="0.25">
      <c r="A701" t="s">
        <v>5</v>
      </c>
      <c r="B701" s="1">
        <v>40422</v>
      </c>
      <c r="C701">
        <v>98591</v>
      </c>
    </row>
    <row r="702" spans="1:3" x14ac:dyDescent="0.25">
      <c r="A702" t="s">
        <v>3</v>
      </c>
      <c r="B702" s="1">
        <v>40452</v>
      </c>
      <c r="C702">
        <v>58786.15</v>
      </c>
    </row>
    <row r="703" spans="1:3" x14ac:dyDescent="0.25">
      <c r="A703" t="s">
        <v>4</v>
      </c>
      <c r="B703" s="1">
        <v>40452</v>
      </c>
      <c r="C703">
        <v>0</v>
      </c>
    </row>
    <row r="704" spans="1:3" x14ac:dyDescent="0.25">
      <c r="A704" t="s">
        <v>5</v>
      </c>
      <c r="B704" s="1">
        <v>40452</v>
      </c>
      <c r="C704">
        <v>582253.13</v>
      </c>
    </row>
    <row r="705" spans="1:3" x14ac:dyDescent="0.25">
      <c r="A705" t="s">
        <v>4</v>
      </c>
      <c r="B705" s="1">
        <v>40483</v>
      </c>
      <c r="C705">
        <v>19700</v>
      </c>
    </row>
    <row r="706" spans="1:3" x14ac:dyDescent="0.25">
      <c r="A706" t="s">
        <v>5</v>
      </c>
      <c r="B706" s="1">
        <v>40513</v>
      </c>
      <c r="C706">
        <v>1655486</v>
      </c>
    </row>
    <row r="707" spans="1:3" x14ac:dyDescent="0.25">
      <c r="A707" t="s">
        <v>4</v>
      </c>
      <c r="B707" s="1">
        <v>40513</v>
      </c>
      <c r="C707">
        <v>40789</v>
      </c>
    </row>
    <row r="708" spans="1:3" x14ac:dyDescent="0.25">
      <c r="A708" t="s">
        <v>3</v>
      </c>
      <c r="B708" s="1">
        <v>40513</v>
      </c>
      <c r="C708">
        <v>2749590.38</v>
      </c>
    </row>
    <row r="709" spans="1:3" x14ac:dyDescent="0.25">
      <c r="A709" t="s">
        <v>3</v>
      </c>
      <c r="B709" s="1">
        <v>40544</v>
      </c>
      <c r="C709">
        <v>6512718.04</v>
      </c>
    </row>
    <row r="710" spans="1:3" x14ac:dyDescent="0.25">
      <c r="A710" t="s">
        <v>3</v>
      </c>
      <c r="B710" s="1">
        <v>40575</v>
      </c>
      <c r="C710">
        <v>7341185.0199999996</v>
      </c>
    </row>
    <row r="711" spans="1:3" x14ac:dyDescent="0.25">
      <c r="A711" t="s">
        <v>4</v>
      </c>
      <c r="B711" s="1">
        <v>40575</v>
      </c>
      <c r="C711">
        <v>66961</v>
      </c>
    </row>
    <row r="712" spans="1:3" x14ac:dyDescent="0.25">
      <c r="A712" t="s">
        <v>5</v>
      </c>
      <c r="B712" s="1">
        <v>40603</v>
      </c>
      <c r="C712">
        <v>546770.64</v>
      </c>
    </row>
    <row r="713" spans="1:3" x14ac:dyDescent="0.25">
      <c r="A713" t="s">
        <v>4</v>
      </c>
      <c r="B713" s="1">
        <v>40603</v>
      </c>
      <c r="C713">
        <v>0</v>
      </c>
    </row>
    <row r="714" spans="1:3" x14ac:dyDescent="0.25">
      <c r="A714" t="s">
        <v>3</v>
      </c>
      <c r="B714" s="1">
        <v>40603</v>
      </c>
      <c r="C714">
        <v>4396139.01</v>
      </c>
    </row>
    <row r="715" spans="1:3" x14ac:dyDescent="0.25">
      <c r="A715" t="s">
        <v>3</v>
      </c>
      <c r="B715" s="1">
        <v>40634</v>
      </c>
      <c r="C715">
        <v>8091318.0099999998</v>
      </c>
    </row>
    <row r="716" spans="1:3" x14ac:dyDescent="0.25">
      <c r="A716" t="s">
        <v>3</v>
      </c>
      <c r="B716" s="1">
        <v>40664</v>
      </c>
      <c r="C716">
        <v>16223271.029999999</v>
      </c>
    </row>
    <row r="717" spans="1:3" x14ac:dyDescent="0.25">
      <c r="A717" t="s">
        <v>5</v>
      </c>
      <c r="B717" s="1">
        <v>40664</v>
      </c>
      <c r="C717">
        <v>495550</v>
      </c>
    </row>
    <row r="718" spans="1:3" x14ac:dyDescent="0.25">
      <c r="A718" t="s">
        <v>5</v>
      </c>
      <c r="B718" s="1">
        <v>40695</v>
      </c>
      <c r="C718">
        <v>60500</v>
      </c>
    </row>
    <row r="719" spans="1:3" x14ac:dyDescent="0.25">
      <c r="A719" t="s">
        <v>3</v>
      </c>
      <c r="B719" s="1">
        <v>40695</v>
      </c>
      <c r="C719">
        <v>11515264.439999999</v>
      </c>
    </row>
    <row r="720" spans="1:3" x14ac:dyDescent="0.25">
      <c r="A720" t="s">
        <v>5</v>
      </c>
      <c r="B720" s="1">
        <v>40725</v>
      </c>
      <c r="C720">
        <v>208547</v>
      </c>
    </row>
    <row r="721" spans="1:3" x14ac:dyDescent="0.25">
      <c r="A721" t="s">
        <v>3</v>
      </c>
      <c r="B721" s="1">
        <v>40725</v>
      </c>
      <c r="C721">
        <v>7388847</v>
      </c>
    </row>
    <row r="722" spans="1:3" x14ac:dyDescent="0.25">
      <c r="A722" t="s">
        <v>3</v>
      </c>
      <c r="B722" s="1">
        <v>40756</v>
      </c>
      <c r="C722">
        <v>297333.63</v>
      </c>
    </row>
    <row r="723" spans="1:3" x14ac:dyDescent="0.25">
      <c r="A723" t="s">
        <v>5</v>
      </c>
      <c r="B723" s="1">
        <v>40756</v>
      </c>
      <c r="C723">
        <v>701574</v>
      </c>
    </row>
    <row r="724" spans="1:3" x14ac:dyDescent="0.25">
      <c r="A724" t="s">
        <v>4</v>
      </c>
      <c r="B724" s="1">
        <v>40787</v>
      </c>
      <c r="C724">
        <v>0</v>
      </c>
    </row>
    <row r="725" spans="1:3" x14ac:dyDescent="0.25">
      <c r="A725" t="s">
        <v>4</v>
      </c>
      <c r="B725" s="1">
        <v>40817</v>
      </c>
      <c r="C725">
        <v>-3934</v>
      </c>
    </row>
    <row r="726" spans="1:3" x14ac:dyDescent="0.25">
      <c r="A726" t="s">
        <v>3</v>
      </c>
      <c r="B726" s="1">
        <v>40848</v>
      </c>
      <c r="C726">
        <v>4448008.01</v>
      </c>
    </row>
    <row r="727" spans="1:3" x14ac:dyDescent="0.25">
      <c r="A727" t="s">
        <v>3</v>
      </c>
      <c r="B727" s="1">
        <v>40878</v>
      </c>
      <c r="C727">
        <v>3727256.18</v>
      </c>
    </row>
    <row r="728" spans="1:3" x14ac:dyDescent="0.25">
      <c r="A728" t="s">
        <v>5</v>
      </c>
      <c r="B728" s="1">
        <v>40878</v>
      </c>
      <c r="C728">
        <v>2366572</v>
      </c>
    </row>
    <row r="729" spans="1:3" x14ac:dyDescent="0.25">
      <c r="A729" t="s">
        <v>4</v>
      </c>
      <c r="B729" s="1">
        <v>40909</v>
      </c>
      <c r="C729">
        <v>4367.1499999999996</v>
      </c>
    </row>
    <row r="730" spans="1:3" x14ac:dyDescent="0.25">
      <c r="A730" t="s">
        <v>3</v>
      </c>
      <c r="B730" s="1">
        <v>40909</v>
      </c>
      <c r="C730">
        <v>2748508.09</v>
      </c>
    </row>
    <row r="731" spans="1:3" x14ac:dyDescent="0.25">
      <c r="A731" t="s">
        <v>5</v>
      </c>
      <c r="B731" s="1">
        <v>40909</v>
      </c>
      <c r="C731">
        <v>441788.71</v>
      </c>
    </row>
    <row r="732" spans="1:3" x14ac:dyDescent="0.25">
      <c r="A732" t="s">
        <v>5</v>
      </c>
      <c r="B732" s="1">
        <v>40940</v>
      </c>
      <c r="C732">
        <v>1131306</v>
      </c>
    </row>
    <row r="733" spans="1:3" x14ac:dyDescent="0.25">
      <c r="A733" t="s">
        <v>3</v>
      </c>
      <c r="B733" s="1">
        <v>40940</v>
      </c>
      <c r="C733">
        <v>2051621</v>
      </c>
    </row>
    <row r="734" spans="1:3" x14ac:dyDescent="0.25">
      <c r="A734" t="s">
        <v>5</v>
      </c>
      <c r="B734" s="1">
        <v>40969</v>
      </c>
      <c r="C734">
        <v>293207.67</v>
      </c>
    </row>
    <row r="735" spans="1:3" x14ac:dyDescent="0.25">
      <c r="A735" t="s">
        <v>5</v>
      </c>
      <c r="B735" s="1">
        <v>41000</v>
      </c>
      <c r="C735">
        <v>721904</v>
      </c>
    </row>
    <row r="736" spans="1:3" x14ac:dyDescent="0.25">
      <c r="A736" t="s">
        <v>3</v>
      </c>
      <c r="B736" s="1">
        <v>41000</v>
      </c>
      <c r="C736">
        <v>3111369.98</v>
      </c>
    </row>
    <row r="737" spans="1:3" x14ac:dyDescent="0.25">
      <c r="A737" t="s">
        <v>3</v>
      </c>
      <c r="B737" s="1">
        <v>41030</v>
      </c>
      <c r="C737">
        <v>14100</v>
      </c>
    </row>
    <row r="738" spans="1:3" x14ac:dyDescent="0.25">
      <c r="A738" t="s">
        <v>5</v>
      </c>
      <c r="B738" s="1">
        <v>41030</v>
      </c>
      <c r="C738">
        <v>77430</v>
      </c>
    </row>
    <row r="739" spans="1:3" x14ac:dyDescent="0.25">
      <c r="A739" t="s">
        <v>3</v>
      </c>
      <c r="B739" s="1">
        <v>41061</v>
      </c>
      <c r="C739">
        <v>1054294</v>
      </c>
    </row>
    <row r="740" spans="1:3" x14ac:dyDescent="0.25">
      <c r="A740" t="s">
        <v>5</v>
      </c>
      <c r="B740" s="1">
        <v>41061</v>
      </c>
      <c r="C740">
        <v>229206</v>
      </c>
    </row>
    <row r="741" spans="1:3" x14ac:dyDescent="0.25">
      <c r="A741" t="s">
        <v>4</v>
      </c>
      <c r="B741" s="1">
        <v>41061</v>
      </c>
      <c r="C741">
        <v>0</v>
      </c>
    </row>
    <row r="742" spans="1:3" x14ac:dyDescent="0.25">
      <c r="A742" t="s">
        <v>5</v>
      </c>
      <c r="B742" s="1">
        <v>41091</v>
      </c>
      <c r="C742">
        <v>1074406.03</v>
      </c>
    </row>
    <row r="743" spans="1:3" x14ac:dyDescent="0.25">
      <c r="A743" t="s">
        <v>3</v>
      </c>
      <c r="B743" s="1">
        <v>41091</v>
      </c>
      <c r="C743">
        <v>1080221.79</v>
      </c>
    </row>
    <row r="744" spans="1:3" x14ac:dyDescent="0.25">
      <c r="A744" t="s">
        <v>4</v>
      </c>
      <c r="B744" s="1">
        <v>41122</v>
      </c>
      <c r="C744">
        <v>0</v>
      </c>
    </row>
    <row r="745" spans="1:3" x14ac:dyDescent="0.25">
      <c r="A745" t="s">
        <v>5</v>
      </c>
      <c r="B745" s="1">
        <v>41122</v>
      </c>
      <c r="C745">
        <v>214272</v>
      </c>
    </row>
    <row r="746" spans="1:3" x14ac:dyDescent="0.25">
      <c r="A746" t="s">
        <v>3</v>
      </c>
      <c r="B746" s="1">
        <v>41122</v>
      </c>
      <c r="C746">
        <v>19994.82</v>
      </c>
    </row>
    <row r="747" spans="1:3" x14ac:dyDescent="0.25">
      <c r="A747" t="s">
        <v>4</v>
      </c>
      <c r="B747" s="1">
        <v>41153</v>
      </c>
      <c r="C747">
        <v>0</v>
      </c>
    </row>
    <row r="748" spans="1:3" x14ac:dyDescent="0.25">
      <c r="A748" t="s">
        <v>5</v>
      </c>
      <c r="B748" s="1">
        <v>41183</v>
      </c>
      <c r="C748">
        <v>588196</v>
      </c>
    </row>
    <row r="749" spans="1:3" x14ac:dyDescent="0.25">
      <c r="A749" t="s">
        <v>3</v>
      </c>
      <c r="B749" s="1">
        <v>41183</v>
      </c>
      <c r="C749">
        <v>12408132</v>
      </c>
    </row>
    <row r="750" spans="1:3" x14ac:dyDescent="0.25">
      <c r="A750" t="s">
        <v>3</v>
      </c>
      <c r="B750" s="1">
        <v>41214</v>
      </c>
      <c r="C750">
        <v>10913295</v>
      </c>
    </row>
    <row r="751" spans="1:3" x14ac:dyDescent="0.25">
      <c r="A751" t="s">
        <v>5</v>
      </c>
      <c r="B751" s="1">
        <v>41214</v>
      </c>
      <c r="C751">
        <v>1590276.7</v>
      </c>
    </row>
    <row r="752" spans="1:3" x14ac:dyDescent="0.25">
      <c r="A752" t="s">
        <v>5</v>
      </c>
      <c r="B752" s="1">
        <v>41244</v>
      </c>
      <c r="C752">
        <v>3212893.92</v>
      </c>
    </row>
    <row r="753" spans="1:3" x14ac:dyDescent="0.25">
      <c r="A753" t="s">
        <v>4</v>
      </c>
      <c r="B753" s="1">
        <v>41244</v>
      </c>
      <c r="C753">
        <v>99440</v>
      </c>
    </row>
    <row r="754" spans="1:3" x14ac:dyDescent="0.25">
      <c r="A754" t="s">
        <v>3</v>
      </c>
      <c r="B754" s="1">
        <v>41244</v>
      </c>
      <c r="C754">
        <v>12525740.109999999</v>
      </c>
    </row>
    <row r="755" spans="1:3" x14ac:dyDescent="0.25">
      <c r="A755" t="s">
        <v>5</v>
      </c>
      <c r="B755" s="1">
        <v>41275</v>
      </c>
      <c r="C755">
        <v>14483.7</v>
      </c>
    </row>
    <row r="756" spans="1:3" x14ac:dyDescent="0.25">
      <c r="A756" t="s">
        <v>5</v>
      </c>
      <c r="B756" s="1">
        <v>41365</v>
      </c>
      <c r="C756">
        <v>275283</v>
      </c>
    </row>
    <row r="757" spans="1:3" x14ac:dyDescent="0.25">
      <c r="A757" t="s">
        <v>3</v>
      </c>
      <c r="B757" s="1">
        <v>41365</v>
      </c>
      <c r="C757">
        <v>5036245.04</v>
      </c>
    </row>
    <row r="758" spans="1:3" x14ac:dyDescent="0.25">
      <c r="A758" t="s">
        <v>3</v>
      </c>
      <c r="B758" s="1">
        <v>41395</v>
      </c>
      <c r="C758">
        <v>4888044</v>
      </c>
    </row>
    <row r="759" spans="1:3" x14ac:dyDescent="0.25">
      <c r="A759" t="s">
        <v>5</v>
      </c>
      <c r="B759" s="1">
        <v>41395</v>
      </c>
      <c r="C759">
        <v>157638.79999999999</v>
      </c>
    </row>
    <row r="760" spans="1:3" x14ac:dyDescent="0.25">
      <c r="A760" t="s">
        <v>5</v>
      </c>
      <c r="B760" s="1">
        <v>41426</v>
      </c>
      <c r="C760">
        <v>0</v>
      </c>
    </row>
    <row r="761" spans="1:3" x14ac:dyDescent="0.25">
      <c r="A761" t="s">
        <v>4</v>
      </c>
      <c r="B761" s="1">
        <v>41487</v>
      </c>
      <c r="C761">
        <v>-245</v>
      </c>
    </row>
    <row r="762" spans="1:3" x14ac:dyDescent="0.25">
      <c r="A762" t="s">
        <v>5</v>
      </c>
      <c r="B762" s="1">
        <v>41487</v>
      </c>
      <c r="C762">
        <v>24867.37</v>
      </c>
    </row>
    <row r="763" spans="1:3" x14ac:dyDescent="0.25">
      <c r="A763" t="s">
        <v>3</v>
      </c>
      <c r="B763" s="1">
        <v>41487</v>
      </c>
      <c r="C763">
        <v>1262686.6299999999</v>
      </c>
    </row>
    <row r="764" spans="1:3" x14ac:dyDescent="0.25">
      <c r="A764" t="s">
        <v>5</v>
      </c>
      <c r="B764" s="1">
        <v>41518</v>
      </c>
      <c r="C764">
        <v>24548</v>
      </c>
    </row>
    <row r="765" spans="1:3" x14ac:dyDescent="0.25">
      <c r="A765" t="s">
        <v>3</v>
      </c>
      <c r="B765" s="1">
        <v>41579</v>
      </c>
      <c r="C765">
        <v>170578.35</v>
      </c>
    </row>
    <row r="766" spans="1:3" x14ac:dyDescent="0.25">
      <c r="A766" t="s">
        <v>5</v>
      </c>
      <c r="B766" s="1">
        <v>41579</v>
      </c>
      <c r="C766">
        <v>469104.66</v>
      </c>
    </row>
    <row r="767" spans="1:3" x14ac:dyDescent="0.25">
      <c r="A767" t="s">
        <v>5</v>
      </c>
      <c r="B767" s="1">
        <v>41609</v>
      </c>
      <c r="C767">
        <v>1343875.57</v>
      </c>
    </row>
    <row r="768" spans="1:3" x14ac:dyDescent="0.25">
      <c r="A768" t="s">
        <v>3</v>
      </c>
      <c r="B768" s="1">
        <v>41640</v>
      </c>
      <c r="C768">
        <v>55377.25</v>
      </c>
    </row>
    <row r="769" spans="1:3" x14ac:dyDescent="0.25">
      <c r="A769" t="s">
        <v>5</v>
      </c>
      <c r="B769" s="1">
        <v>41640</v>
      </c>
      <c r="C769">
        <v>89026.77</v>
      </c>
    </row>
    <row r="770" spans="1:3" x14ac:dyDescent="0.25">
      <c r="A770" t="s">
        <v>5</v>
      </c>
      <c r="B770" s="1">
        <v>41671</v>
      </c>
      <c r="C770">
        <v>619543</v>
      </c>
    </row>
    <row r="771" spans="1:3" x14ac:dyDescent="0.25">
      <c r="A771" t="s">
        <v>3</v>
      </c>
      <c r="B771" s="1">
        <v>41671</v>
      </c>
      <c r="C771">
        <v>64853.8</v>
      </c>
    </row>
    <row r="772" spans="1:3" x14ac:dyDescent="0.25">
      <c r="A772" t="s">
        <v>3</v>
      </c>
      <c r="B772" s="1">
        <v>41699</v>
      </c>
      <c r="C772">
        <v>37264</v>
      </c>
    </row>
    <row r="773" spans="1:3" x14ac:dyDescent="0.25">
      <c r="A773" t="s">
        <v>5</v>
      </c>
      <c r="B773" s="1">
        <v>41699</v>
      </c>
      <c r="C773">
        <v>516975</v>
      </c>
    </row>
    <row r="774" spans="1:3" x14ac:dyDescent="0.25">
      <c r="A774" t="s">
        <v>3</v>
      </c>
      <c r="B774" s="1">
        <v>41730</v>
      </c>
      <c r="C774">
        <v>4795457.99</v>
      </c>
    </row>
    <row r="775" spans="1:3" x14ac:dyDescent="0.25">
      <c r="A775" t="s">
        <v>4</v>
      </c>
      <c r="B775" s="1">
        <v>41760</v>
      </c>
      <c r="C775">
        <v>257216</v>
      </c>
    </row>
    <row r="776" spans="1:3" x14ac:dyDescent="0.25">
      <c r="A776" t="s">
        <v>3</v>
      </c>
      <c r="B776" s="1">
        <v>41791</v>
      </c>
      <c r="C776">
        <v>6975811.0099999998</v>
      </c>
    </row>
    <row r="777" spans="1:3" x14ac:dyDescent="0.25">
      <c r="A777" t="s">
        <v>5</v>
      </c>
      <c r="B777" s="1">
        <v>41791</v>
      </c>
      <c r="C777">
        <v>36343</v>
      </c>
    </row>
    <row r="778" spans="1:3" x14ac:dyDescent="0.25">
      <c r="A778" t="s">
        <v>5</v>
      </c>
      <c r="B778" s="1">
        <v>41821</v>
      </c>
      <c r="C778">
        <v>342796</v>
      </c>
    </row>
    <row r="779" spans="1:3" x14ac:dyDescent="0.25">
      <c r="A779" t="s">
        <v>3</v>
      </c>
      <c r="B779" s="1">
        <v>41821</v>
      </c>
      <c r="C779">
        <v>41.16</v>
      </c>
    </row>
    <row r="780" spans="1:3" x14ac:dyDescent="0.25">
      <c r="A780" t="s">
        <v>3</v>
      </c>
      <c r="B780" s="1">
        <v>41852</v>
      </c>
      <c r="C780">
        <v>6797867</v>
      </c>
    </row>
    <row r="781" spans="1:3" x14ac:dyDescent="0.25">
      <c r="A781" t="s">
        <v>5</v>
      </c>
      <c r="B781" s="1">
        <v>41852</v>
      </c>
      <c r="C781">
        <v>1691908</v>
      </c>
    </row>
    <row r="782" spans="1:3" x14ac:dyDescent="0.25">
      <c r="A782" t="s">
        <v>4</v>
      </c>
      <c r="B782" s="1">
        <v>41852</v>
      </c>
      <c r="C782">
        <v>0</v>
      </c>
    </row>
    <row r="783" spans="1:3" x14ac:dyDescent="0.25">
      <c r="A783" t="s">
        <v>3</v>
      </c>
      <c r="B783" s="1">
        <v>41913</v>
      </c>
      <c r="C783">
        <v>1787502</v>
      </c>
    </row>
    <row r="784" spans="1:3" x14ac:dyDescent="0.25">
      <c r="A784" t="s">
        <v>5</v>
      </c>
      <c r="B784" s="1">
        <v>41913</v>
      </c>
      <c r="C784">
        <v>18074</v>
      </c>
    </row>
    <row r="785" spans="1:3" x14ac:dyDescent="0.25">
      <c r="A785" t="s">
        <v>5</v>
      </c>
      <c r="B785" s="1">
        <v>41944</v>
      </c>
      <c r="C785">
        <v>1100373.1000000001</v>
      </c>
    </row>
    <row r="786" spans="1:3" x14ac:dyDescent="0.25">
      <c r="A786" t="s">
        <v>4</v>
      </c>
      <c r="B786" s="1">
        <v>41944</v>
      </c>
      <c r="C786">
        <v>-1040</v>
      </c>
    </row>
    <row r="787" spans="1:3" x14ac:dyDescent="0.25">
      <c r="A787" t="s">
        <v>5</v>
      </c>
      <c r="B787" s="1">
        <v>41974</v>
      </c>
      <c r="C787">
        <v>2352719.06</v>
      </c>
    </row>
    <row r="788" spans="1:3" x14ac:dyDescent="0.25">
      <c r="A788" t="s">
        <v>3</v>
      </c>
      <c r="B788" s="1">
        <v>41974</v>
      </c>
      <c r="C788">
        <v>15640587.01</v>
      </c>
    </row>
    <row r="789" spans="1:3" x14ac:dyDescent="0.25">
      <c r="A789" t="s">
        <v>5</v>
      </c>
      <c r="B789" s="1">
        <v>42005</v>
      </c>
      <c r="C789">
        <v>418578.68</v>
      </c>
    </row>
    <row r="790" spans="1:3" x14ac:dyDescent="0.25">
      <c r="A790" t="s">
        <v>5</v>
      </c>
      <c r="B790" s="1">
        <v>42036</v>
      </c>
      <c r="C790">
        <v>208</v>
      </c>
    </row>
    <row r="791" spans="1:3" x14ac:dyDescent="0.25">
      <c r="A791" t="s">
        <v>4</v>
      </c>
      <c r="B791" s="1">
        <v>42064</v>
      </c>
      <c r="C791">
        <v>52564</v>
      </c>
    </row>
    <row r="792" spans="1:3" x14ac:dyDescent="0.25">
      <c r="A792" t="s">
        <v>3</v>
      </c>
      <c r="B792" s="1">
        <v>42064</v>
      </c>
      <c r="C792">
        <v>18005</v>
      </c>
    </row>
    <row r="793" spans="1:3" x14ac:dyDescent="0.25">
      <c r="A793" t="s">
        <v>5</v>
      </c>
      <c r="B793" s="1">
        <v>42064</v>
      </c>
      <c r="C793">
        <v>2022</v>
      </c>
    </row>
    <row r="794" spans="1:3" x14ac:dyDescent="0.25">
      <c r="A794" t="s">
        <v>5</v>
      </c>
      <c r="B794" s="1">
        <v>42095</v>
      </c>
      <c r="C794">
        <v>2387899</v>
      </c>
    </row>
    <row r="795" spans="1:3" x14ac:dyDescent="0.25">
      <c r="A795" t="s">
        <v>3</v>
      </c>
      <c r="B795" s="1">
        <v>42095</v>
      </c>
      <c r="C795">
        <v>242065</v>
      </c>
    </row>
    <row r="796" spans="1:3" x14ac:dyDescent="0.25">
      <c r="A796" t="s">
        <v>5</v>
      </c>
      <c r="B796" s="1">
        <v>42125</v>
      </c>
      <c r="C796">
        <v>512857</v>
      </c>
    </row>
    <row r="797" spans="1:3" x14ac:dyDescent="0.25">
      <c r="A797" t="s">
        <v>3</v>
      </c>
      <c r="B797" s="1">
        <v>42125</v>
      </c>
      <c r="C797">
        <v>5485304</v>
      </c>
    </row>
    <row r="798" spans="1:3" x14ac:dyDescent="0.25">
      <c r="A798" t="s">
        <v>5</v>
      </c>
      <c r="B798" s="1">
        <v>42156</v>
      </c>
      <c r="C798">
        <v>1098351</v>
      </c>
    </row>
    <row r="799" spans="1:3" x14ac:dyDescent="0.25">
      <c r="A799" t="s">
        <v>3</v>
      </c>
      <c r="B799" s="1">
        <v>42156</v>
      </c>
      <c r="C799">
        <v>3802227.01</v>
      </c>
    </row>
    <row r="800" spans="1:3" x14ac:dyDescent="0.25">
      <c r="A800" t="s">
        <v>5</v>
      </c>
      <c r="B800" s="1">
        <v>42186</v>
      </c>
      <c r="C800">
        <v>347420.03</v>
      </c>
    </row>
    <row r="801" spans="1:3" x14ac:dyDescent="0.25">
      <c r="A801" t="s">
        <v>4</v>
      </c>
      <c r="B801" s="1">
        <v>42186</v>
      </c>
      <c r="C801">
        <v>363712.32</v>
      </c>
    </row>
    <row r="802" spans="1:3" x14ac:dyDescent="0.25">
      <c r="A802" t="s">
        <v>3</v>
      </c>
      <c r="B802" s="1">
        <v>42217</v>
      </c>
      <c r="C802">
        <v>2613675.0099999998</v>
      </c>
    </row>
    <row r="803" spans="1:3" x14ac:dyDescent="0.25">
      <c r="A803" t="s">
        <v>5</v>
      </c>
      <c r="B803" s="1">
        <v>42217</v>
      </c>
      <c r="C803">
        <v>1701850</v>
      </c>
    </row>
    <row r="804" spans="1:3" x14ac:dyDescent="0.25">
      <c r="A804" t="s">
        <v>4</v>
      </c>
      <c r="B804" s="1">
        <v>42217</v>
      </c>
      <c r="C804">
        <v>0</v>
      </c>
    </row>
    <row r="805" spans="1:3" x14ac:dyDescent="0.25">
      <c r="A805" t="s">
        <v>4</v>
      </c>
      <c r="B805" s="1">
        <v>42248</v>
      </c>
      <c r="C805">
        <v>0</v>
      </c>
    </row>
    <row r="806" spans="1:3" x14ac:dyDescent="0.25">
      <c r="A806" t="s">
        <v>5</v>
      </c>
      <c r="B806" s="1">
        <v>42248</v>
      </c>
      <c r="C806">
        <v>1707</v>
      </c>
    </row>
    <row r="807" spans="1:3" x14ac:dyDescent="0.25">
      <c r="A807" t="s">
        <v>3</v>
      </c>
      <c r="B807" s="1">
        <v>42248</v>
      </c>
      <c r="C807">
        <v>2250248</v>
      </c>
    </row>
    <row r="808" spans="1:3" x14ac:dyDescent="0.25">
      <c r="A808" t="s">
        <v>3</v>
      </c>
      <c r="B808" s="1">
        <v>42278</v>
      </c>
      <c r="C808">
        <v>68915.14</v>
      </c>
    </row>
    <row r="809" spans="1:3" x14ac:dyDescent="0.25">
      <c r="A809" t="s">
        <v>5</v>
      </c>
      <c r="B809" s="1">
        <v>42278</v>
      </c>
      <c r="C809">
        <v>831897.02</v>
      </c>
    </row>
    <row r="810" spans="1:3" x14ac:dyDescent="0.25">
      <c r="A810" t="s">
        <v>4</v>
      </c>
      <c r="B810" s="1">
        <v>42278</v>
      </c>
      <c r="C810">
        <v>-6046</v>
      </c>
    </row>
    <row r="811" spans="1:3" x14ac:dyDescent="0.25">
      <c r="A811" t="s">
        <v>5</v>
      </c>
      <c r="B811" s="1">
        <v>42309</v>
      </c>
      <c r="C811">
        <v>462731</v>
      </c>
    </row>
    <row r="812" spans="1:3" x14ac:dyDescent="0.25">
      <c r="A812" t="s">
        <v>4</v>
      </c>
      <c r="B812" s="1">
        <v>42309</v>
      </c>
      <c r="C812">
        <v>-263</v>
      </c>
    </row>
    <row r="813" spans="1:3" x14ac:dyDescent="0.25">
      <c r="A813" t="s">
        <v>3</v>
      </c>
      <c r="B813" s="1">
        <v>42309</v>
      </c>
      <c r="C813">
        <v>3054104.2</v>
      </c>
    </row>
    <row r="814" spans="1:3" x14ac:dyDescent="0.25">
      <c r="A814" t="s">
        <v>4</v>
      </c>
      <c r="B814" s="1">
        <v>42339</v>
      </c>
      <c r="C814">
        <v>-5765</v>
      </c>
    </row>
    <row r="815" spans="1:3" x14ac:dyDescent="0.25">
      <c r="A815" t="s">
        <v>5</v>
      </c>
      <c r="B815" s="1">
        <v>42339</v>
      </c>
      <c r="C815">
        <v>4004843</v>
      </c>
    </row>
    <row r="816" spans="1:3" x14ac:dyDescent="0.25">
      <c r="A816" t="s">
        <v>3</v>
      </c>
      <c r="B816" s="1">
        <v>42339</v>
      </c>
      <c r="C816">
        <v>149658</v>
      </c>
    </row>
    <row r="817" spans="1:3" x14ac:dyDescent="0.25">
      <c r="A817" t="s">
        <v>5</v>
      </c>
      <c r="B817" s="1">
        <v>42370</v>
      </c>
      <c r="C817">
        <v>282112</v>
      </c>
    </row>
    <row r="818" spans="1:3" x14ac:dyDescent="0.25">
      <c r="A818" t="s">
        <v>5</v>
      </c>
      <c r="B818" s="1">
        <v>42401</v>
      </c>
      <c r="C818">
        <v>18889</v>
      </c>
    </row>
    <row r="819" spans="1:3" x14ac:dyDescent="0.25">
      <c r="A819" t="s">
        <v>4</v>
      </c>
      <c r="B819" s="1">
        <v>42401</v>
      </c>
      <c r="C819">
        <v>0</v>
      </c>
    </row>
    <row r="820" spans="1:3" x14ac:dyDescent="0.25">
      <c r="A820" t="s">
        <v>3</v>
      </c>
      <c r="B820" s="1">
        <v>42401</v>
      </c>
      <c r="C820">
        <v>4753582.01</v>
      </c>
    </row>
    <row r="821" spans="1:3" x14ac:dyDescent="0.25">
      <c r="A821" t="s">
        <v>5</v>
      </c>
      <c r="B821" s="1">
        <v>42430</v>
      </c>
      <c r="C821">
        <v>624470</v>
      </c>
    </row>
    <row r="822" spans="1:3" x14ac:dyDescent="0.25">
      <c r="A822" t="s">
        <v>3</v>
      </c>
      <c r="B822" s="1">
        <v>42461</v>
      </c>
      <c r="C822">
        <v>8978283</v>
      </c>
    </row>
    <row r="823" spans="1:3" x14ac:dyDescent="0.25">
      <c r="A823" t="s">
        <v>5</v>
      </c>
      <c r="B823" s="1">
        <v>42461</v>
      </c>
      <c r="C823">
        <v>12434</v>
      </c>
    </row>
    <row r="824" spans="1:3" x14ac:dyDescent="0.25">
      <c r="A824" t="s">
        <v>5</v>
      </c>
      <c r="B824" s="1">
        <v>42491</v>
      </c>
      <c r="C824">
        <v>588298</v>
      </c>
    </row>
    <row r="825" spans="1:3" x14ac:dyDescent="0.25">
      <c r="A825" t="s">
        <v>3</v>
      </c>
      <c r="B825" s="1">
        <v>42491</v>
      </c>
      <c r="C825">
        <v>1294801.02</v>
      </c>
    </row>
    <row r="826" spans="1:3" x14ac:dyDescent="0.25">
      <c r="A826" t="s">
        <v>5</v>
      </c>
      <c r="B826" s="1">
        <v>42522</v>
      </c>
      <c r="C826">
        <v>1127001</v>
      </c>
    </row>
    <row r="827" spans="1:3" x14ac:dyDescent="0.25">
      <c r="A827" t="s">
        <v>3</v>
      </c>
      <c r="B827" s="1">
        <v>42522</v>
      </c>
      <c r="C827">
        <v>2237436</v>
      </c>
    </row>
    <row r="828" spans="1:3" x14ac:dyDescent="0.25">
      <c r="A828" t="s">
        <v>4</v>
      </c>
      <c r="B828" s="1">
        <v>42522</v>
      </c>
      <c r="C828">
        <v>12584277</v>
      </c>
    </row>
    <row r="829" spans="1:3" x14ac:dyDescent="0.25">
      <c r="A829" t="s">
        <v>5</v>
      </c>
      <c r="B829" s="1">
        <v>42552</v>
      </c>
      <c r="C829">
        <v>693816</v>
      </c>
    </row>
    <row r="830" spans="1:3" x14ac:dyDescent="0.25">
      <c r="A830" t="s">
        <v>3</v>
      </c>
      <c r="B830" s="1">
        <v>42552</v>
      </c>
      <c r="C830">
        <v>8494400</v>
      </c>
    </row>
    <row r="831" spans="1:3" x14ac:dyDescent="0.25">
      <c r="A831" t="s">
        <v>3</v>
      </c>
      <c r="B831" s="1">
        <v>42583</v>
      </c>
      <c r="C831">
        <v>0</v>
      </c>
    </row>
    <row r="832" spans="1:3" x14ac:dyDescent="0.25">
      <c r="A832" t="s">
        <v>5</v>
      </c>
      <c r="B832" s="1">
        <v>42614</v>
      </c>
      <c r="C832">
        <v>543700</v>
      </c>
    </row>
    <row r="833" spans="1:3" x14ac:dyDescent="0.25">
      <c r="A833" t="s">
        <v>3</v>
      </c>
      <c r="B833" s="1">
        <v>42614</v>
      </c>
      <c r="C833">
        <v>619977.01</v>
      </c>
    </row>
    <row r="834" spans="1:3" x14ac:dyDescent="0.25">
      <c r="A834" t="s">
        <v>4</v>
      </c>
      <c r="B834" s="1">
        <v>42644</v>
      </c>
      <c r="C834">
        <v>-1883</v>
      </c>
    </row>
    <row r="835" spans="1:3" x14ac:dyDescent="0.25">
      <c r="A835" t="s">
        <v>5</v>
      </c>
      <c r="B835" s="1">
        <v>42644</v>
      </c>
      <c r="C835">
        <v>251730</v>
      </c>
    </row>
    <row r="836" spans="1:3" x14ac:dyDescent="0.25">
      <c r="A836" t="s">
        <v>3</v>
      </c>
      <c r="B836" s="1">
        <v>42644</v>
      </c>
      <c r="C836">
        <v>705979</v>
      </c>
    </row>
    <row r="837" spans="1:3" x14ac:dyDescent="0.25">
      <c r="A837" t="s">
        <v>5</v>
      </c>
      <c r="B837" s="1">
        <v>42675</v>
      </c>
      <c r="C837">
        <v>315208</v>
      </c>
    </row>
    <row r="838" spans="1:3" x14ac:dyDescent="0.25">
      <c r="A838" t="s">
        <v>4</v>
      </c>
      <c r="B838" s="1">
        <v>42705</v>
      </c>
      <c r="C838">
        <v>-936</v>
      </c>
    </row>
    <row r="839" spans="1:3" x14ac:dyDescent="0.25">
      <c r="A839" t="s">
        <v>5</v>
      </c>
      <c r="B839" s="1">
        <v>42705</v>
      </c>
      <c r="C839">
        <v>13874941</v>
      </c>
    </row>
    <row r="840" spans="1:3" x14ac:dyDescent="0.25">
      <c r="A840" t="s">
        <v>3</v>
      </c>
      <c r="B840" s="1">
        <v>42705</v>
      </c>
      <c r="C840">
        <v>8559978.0199999996</v>
      </c>
    </row>
    <row r="841" spans="1:3" x14ac:dyDescent="0.25">
      <c r="A841" t="s">
        <v>5</v>
      </c>
      <c r="B841" s="1">
        <v>42736</v>
      </c>
      <c r="C841">
        <v>1323087</v>
      </c>
    </row>
    <row r="842" spans="1:3" x14ac:dyDescent="0.25">
      <c r="A842" t="s">
        <v>4</v>
      </c>
      <c r="B842" s="1">
        <v>42736</v>
      </c>
      <c r="C842">
        <v>-341</v>
      </c>
    </row>
    <row r="843" spans="1:3" x14ac:dyDescent="0.25">
      <c r="A843" t="s">
        <v>3</v>
      </c>
      <c r="B843" s="1">
        <v>42736</v>
      </c>
      <c r="C843">
        <v>4571248.0199999996</v>
      </c>
    </row>
    <row r="844" spans="1:3" x14ac:dyDescent="0.25">
      <c r="A844" t="s">
        <v>5</v>
      </c>
      <c r="B844" s="1">
        <v>42767</v>
      </c>
      <c r="C844">
        <v>527090</v>
      </c>
    </row>
    <row r="845" spans="1:3" x14ac:dyDescent="0.25">
      <c r="A845" t="s">
        <v>3</v>
      </c>
      <c r="B845" s="1">
        <v>42767</v>
      </c>
      <c r="C845">
        <v>2845025</v>
      </c>
    </row>
    <row r="846" spans="1:3" x14ac:dyDescent="0.25">
      <c r="A846" t="s">
        <v>4</v>
      </c>
      <c r="B846" s="1">
        <v>42767</v>
      </c>
      <c r="C846">
        <v>-377</v>
      </c>
    </row>
    <row r="847" spans="1:3" x14ac:dyDescent="0.25">
      <c r="A847" t="s">
        <v>4</v>
      </c>
      <c r="B847" s="1">
        <v>42795</v>
      </c>
      <c r="C847">
        <v>-1514</v>
      </c>
    </row>
    <row r="848" spans="1:3" x14ac:dyDescent="0.25">
      <c r="A848" t="s">
        <v>5</v>
      </c>
      <c r="B848" s="1">
        <v>42795</v>
      </c>
      <c r="C848">
        <v>2959832.49</v>
      </c>
    </row>
    <row r="849" spans="1:3" x14ac:dyDescent="0.25">
      <c r="A849" t="s">
        <v>5</v>
      </c>
      <c r="B849" s="1">
        <v>42826</v>
      </c>
      <c r="C849">
        <v>1053781.3899999999</v>
      </c>
    </row>
    <row r="850" spans="1:3" x14ac:dyDescent="0.25">
      <c r="A850" t="s">
        <v>5</v>
      </c>
      <c r="B850" s="1">
        <v>42856</v>
      </c>
      <c r="C850">
        <v>564397</v>
      </c>
    </row>
    <row r="851" spans="1:3" x14ac:dyDescent="0.25">
      <c r="A851" t="s">
        <v>5</v>
      </c>
      <c r="B851" s="1">
        <v>42887</v>
      </c>
      <c r="C851">
        <v>534612</v>
      </c>
    </row>
    <row r="852" spans="1:3" x14ac:dyDescent="0.25">
      <c r="A852" t="s">
        <v>3</v>
      </c>
      <c r="B852" s="1">
        <v>42887</v>
      </c>
      <c r="C852">
        <v>9995341</v>
      </c>
    </row>
    <row r="853" spans="1:3" x14ac:dyDescent="0.25">
      <c r="A853" t="s">
        <v>5</v>
      </c>
      <c r="B853" s="1">
        <v>42917</v>
      </c>
      <c r="C853">
        <v>1340373.01</v>
      </c>
    </row>
    <row r="854" spans="1:3" x14ac:dyDescent="0.25">
      <c r="A854" t="s">
        <v>3</v>
      </c>
      <c r="B854" s="1">
        <v>42917</v>
      </c>
      <c r="C854">
        <v>6829717</v>
      </c>
    </row>
    <row r="855" spans="1:3" x14ac:dyDescent="0.25">
      <c r="A855" t="s">
        <v>4</v>
      </c>
      <c r="B855" s="1">
        <v>42948</v>
      </c>
      <c r="C855">
        <v>-1755</v>
      </c>
    </row>
    <row r="856" spans="1:3" x14ac:dyDescent="0.25">
      <c r="A856" t="s">
        <v>5</v>
      </c>
      <c r="B856" s="1">
        <v>42948</v>
      </c>
      <c r="C856">
        <v>474831</v>
      </c>
    </row>
    <row r="857" spans="1:3" x14ac:dyDescent="0.25">
      <c r="A857" t="s">
        <v>5</v>
      </c>
      <c r="B857" s="1">
        <v>42979</v>
      </c>
      <c r="C857">
        <v>632403</v>
      </c>
    </row>
    <row r="858" spans="1:3" x14ac:dyDescent="0.25">
      <c r="A858" t="s">
        <v>5</v>
      </c>
      <c r="B858" s="1">
        <v>43009</v>
      </c>
      <c r="C858">
        <v>373665</v>
      </c>
    </row>
    <row r="859" spans="1:3" x14ac:dyDescent="0.25">
      <c r="A859" t="s">
        <v>5</v>
      </c>
      <c r="B859" s="1">
        <v>43040</v>
      </c>
      <c r="C859">
        <v>2438440</v>
      </c>
    </row>
    <row r="860" spans="1:3" x14ac:dyDescent="0.25">
      <c r="A860" t="s">
        <v>3</v>
      </c>
      <c r="B860" s="1">
        <v>43070</v>
      </c>
      <c r="C860">
        <v>6725535.5099999998</v>
      </c>
    </row>
    <row r="861" spans="1:3" x14ac:dyDescent="0.25">
      <c r="A861" t="s">
        <v>5</v>
      </c>
      <c r="B861" s="1">
        <v>43070</v>
      </c>
      <c r="C861">
        <v>4945953.53</v>
      </c>
    </row>
    <row r="862" spans="1:3" x14ac:dyDescent="0.25">
      <c r="A862" t="s">
        <v>4</v>
      </c>
      <c r="B862" s="1">
        <v>43101</v>
      </c>
      <c r="C862">
        <v>-1537</v>
      </c>
    </row>
    <row r="863" spans="1:3" x14ac:dyDescent="0.25">
      <c r="A863" t="s">
        <v>5</v>
      </c>
      <c r="B863" s="1">
        <v>43101</v>
      </c>
      <c r="C863">
        <v>3188161</v>
      </c>
    </row>
    <row r="864" spans="1:3" x14ac:dyDescent="0.25">
      <c r="A864" t="s">
        <v>5</v>
      </c>
      <c r="B864" s="1">
        <v>43132</v>
      </c>
      <c r="C864">
        <v>500519</v>
      </c>
    </row>
    <row r="865" spans="1:3" x14ac:dyDescent="0.25">
      <c r="A865" t="s">
        <v>4</v>
      </c>
      <c r="B865" s="1">
        <v>43160</v>
      </c>
      <c r="C865">
        <v>-42440</v>
      </c>
    </row>
    <row r="866" spans="1:3" x14ac:dyDescent="0.25">
      <c r="A866" t="s">
        <v>5</v>
      </c>
      <c r="B866" s="1">
        <v>43160</v>
      </c>
      <c r="C866">
        <v>788805</v>
      </c>
    </row>
    <row r="867" spans="1:3" x14ac:dyDescent="0.25">
      <c r="A867" t="s">
        <v>4</v>
      </c>
      <c r="B867" s="1">
        <v>43191</v>
      </c>
      <c r="C867">
        <v>-1546</v>
      </c>
    </row>
    <row r="868" spans="1:3" x14ac:dyDescent="0.25">
      <c r="A868" t="s">
        <v>5</v>
      </c>
      <c r="B868" s="1">
        <v>43191</v>
      </c>
      <c r="C868">
        <v>1279906</v>
      </c>
    </row>
    <row r="869" spans="1:3" x14ac:dyDescent="0.25">
      <c r="A869" t="s">
        <v>3</v>
      </c>
      <c r="B869" s="1">
        <v>43221</v>
      </c>
      <c r="C869">
        <v>10064262.01</v>
      </c>
    </row>
    <row r="870" spans="1:3" x14ac:dyDescent="0.25">
      <c r="A870" t="s">
        <v>5</v>
      </c>
      <c r="B870" s="1">
        <v>43221</v>
      </c>
      <c r="C870">
        <v>248598</v>
      </c>
    </row>
    <row r="871" spans="1:3" x14ac:dyDescent="0.25">
      <c r="A871" t="s">
        <v>4</v>
      </c>
      <c r="B871" s="1">
        <v>43252</v>
      </c>
      <c r="C871">
        <v>-2502</v>
      </c>
    </row>
    <row r="872" spans="1:3" x14ac:dyDescent="0.25">
      <c r="A872" t="s">
        <v>3</v>
      </c>
      <c r="B872" s="1">
        <v>43252</v>
      </c>
      <c r="C872">
        <v>7067298.3600000003</v>
      </c>
    </row>
    <row r="873" spans="1:3" x14ac:dyDescent="0.25">
      <c r="A873" t="s">
        <v>5</v>
      </c>
      <c r="B873" s="1">
        <v>43282</v>
      </c>
      <c r="C873">
        <v>357466</v>
      </c>
    </row>
    <row r="874" spans="1:3" x14ac:dyDescent="0.25">
      <c r="A874" t="s">
        <v>3</v>
      </c>
      <c r="B874" s="1">
        <v>43282</v>
      </c>
      <c r="C874">
        <v>3143517</v>
      </c>
    </row>
    <row r="875" spans="1:3" x14ac:dyDescent="0.25">
      <c r="A875" t="s">
        <v>5</v>
      </c>
      <c r="B875" s="1">
        <v>43313</v>
      </c>
      <c r="C875">
        <v>142115</v>
      </c>
    </row>
    <row r="876" spans="1:3" x14ac:dyDescent="0.25">
      <c r="A876" t="s">
        <v>3</v>
      </c>
      <c r="B876" s="1">
        <v>43313</v>
      </c>
      <c r="C876">
        <v>2264101</v>
      </c>
    </row>
    <row r="877" spans="1:3" x14ac:dyDescent="0.25">
      <c r="A877" t="s">
        <v>3</v>
      </c>
      <c r="B877" s="1">
        <v>43344</v>
      </c>
      <c r="C877">
        <v>4717062</v>
      </c>
    </row>
    <row r="878" spans="1:3" x14ac:dyDescent="0.25">
      <c r="A878" t="s">
        <v>5</v>
      </c>
      <c r="B878" s="1">
        <v>43344</v>
      </c>
      <c r="C878">
        <v>1169144</v>
      </c>
    </row>
    <row r="879" spans="1:3" x14ac:dyDescent="0.25">
      <c r="A879" t="s">
        <v>3</v>
      </c>
      <c r="B879" s="1">
        <v>43374</v>
      </c>
      <c r="C879">
        <v>3937045</v>
      </c>
    </row>
    <row r="880" spans="1:3" x14ac:dyDescent="0.25">
      <c r="A880" t="s">
        <v>5</v>
      </c>
      <c r="B880" s="1">
        <v>43374</v>
      </c>
      <c r="C880">
        <v>1065348</v>
      </c>
    </row>
    <row r="881" spans="1:3" x14ac:dyDescent="0.25">
      <c r="A881" t="s">
        <v>4</v>
      </c>
      <c r="B881" s="1">
        <v>43374</v>
      </c>
      <c r="C881">
        <v>-887</v>
      </c>
    </row>
    <row r="882" spans="1:3" x14ac:dyDescent="0.25">
      <c r="A882" t="s">
        <v>3</v>
      </c>
      <c r="B882" s="1">
        <v>43405</v>
      </c>
      <c r="C882">
        <v>10680780</v>
      </c>
    </row>
    <row r="883" spans="1:3" x14ac:dyDescent="0.25">
      <c r="A883" t="s">
        <v>4</v>
      </c>
      <c r="B883" s="1">
        <v>43405</v>
      </c>
      <c r="C883">
        <v>-105</v>
      </c>
    </row>
    <row r="884" spans="1:3" x14ac:dyDescent="0.25">
      <c r="A884" t="s">
        <v>5</v>
      </c>
      <c r="B884" s="1">
        <v>43405</v>
      </c>
      <c r="C884">
        <v>1267045</v>
      </c>
    </row>
    <row r="885" spans="1:3" x14ac:dyDescent="0.25">
      <c r="A885" t="s">
        <v>4</v>
      </c>
      <c r="B885" s="1">
        <v>43435</v>
      </c>
      <c r="C885">
        <v>-5665</v>
      </c>
    </row>
    <row r="886" spans="1:3" x14ac:dyDescent="0.25">
      <c r="A886" t="s">
        <v>3</v>
      </c>
      <c r="B886" s="1">
        <v>43435</v>
      </c>
      <c r="C886">
        <v>18438615</v>
      </c>
    </row>
    <row r="887" spans="1:3" x14ac:dyDescent="0.25">
      <c r="A887" t="s">
        <v>4</v>
      </c>
      <c r="B887" s="1">
        <v>43466</v>
      </c>
      <c r="C887">
        <v>0</v>
      </c>
    </row>
    <row r="888" spans="1:3" x14ac:dyDescent="0.25">
      <c r="A888" t="s">
        <v>5</v>
      </c>
      <c r="B888" s="1">
        <v>43466</v>
      </c>
      <c r="C888">
        <v>2600036</v>
      </c>
    </row>
    <row r="889" spans="1:3" x14ac:dyDescent="0.25">
      <c r="A889" t="s">
        <v>5</v>
      </c>
      <c r="B889" s="1">
        <v>43497</v>
      </c>
      <c r="C889">
        <v>1296684</v>
      </c>
    </row>
    <row r="890" spans="1:3" x14ac:dyDescent="0.25">
      <c r="A890" t="s">
        <v>4</v>
      </c>
      <c r="B890" s="1">
        <v>43497</v>
      </c>
      <c r="C890">
        <v>-3709</v>
      </c>
    </row>
    <row r="891" spans="1:3" x14ac:dyDescent="0.25">
      <c r="A891" t="s">
        <v>5</v>
      </c>
      <c r="B891" s="1">
        <v>43525</v>
      </c>
      <c r="C891">
        <v>1965111</v>
      </c>
    </row>
    <row r="892" spans="1:3" x14ac:dyDescent="0.25">
      <c r="A892" t="s">
        <v>3</v>
      </c>
      <c r="B892" s="1">
        <v>43525</v>
      </c>
      <c r="C892">
        <v>13292397.02</v>
      </c>
    </row>
    <row r="893" spans="1:3" x14ac:dyDescent="0.25">
      <c r="A893" t="s">
        <v>4</v>
      </c>
      <c r="B893" s="1">
        <v>43556</v>
      </c>
      <c r="C893">
        <v>0</v>
      </c>
    </row>
    <row r="894" spans="1:3" x14ac:dyDescent="0.25">
      <c r="A894" t="s">
        <v>3</v>
      </c>
      <c r="B894" s="1">
        <v>43556</v>
      </c>
      <c r="C894">
        <v>613794.02</v>
      </c>
    </row>
    <row r="895" spans="1:3" x14ac:dyDescent="0.25">
      <c r="A895" t="s">
        <v>5</v>
      </c>
      <c r="B895" s="1">
        <v>43556</v>
      </c>
      <c r="C895">
        <v>76506</v>
      </c>
    </row>
    <row r="896" spans="1:3" x14ac:dyDescent="0.25">
      <c r="A896" t="s">
        <v>4</v>
      </c>
      <c r="B896" s="1">
        <v>43586</v>
      </c>
      <c r="C896">
        <v>-104</v>
      </c>
    </row>
    <row r="897" spans="1:3" x14ac:dyDescent="0.25">
      <c r="A897" t="s">
        <v>3</v>
      </c>
      <c r="B897" s="1">
        <v>43586</v>
      </c>
      <c r="C897">
        <v>5943010</v>
      </c>
    </row>
    <row r="898" spans="1:3" x14ac:dyDescent="0.25">
      <c r="A898" t="s">
        <v>3</v>
      </c>
      <c r="B898" s="1">
        <v>43617</v>
      </c>
      <c r="C898">
        <v>2084101.19</v>
      </c>
    </row>
    <row r="899" spans="1:3" x14ac:dyDescent="0.25">
      <c r="A899" t="s">
        <v>4</v>
      </c>
      <c r="B899" s="1">
        <v>43617</v>
      </c>
      <c r="C899">
        <v>-1320</v>
      </c>
    </row>
    <row r="900" spans="1:3" x14ac:dyDescent="0.25">
      <c r="A900" t="s">
        <v>4</v>
      </c>
      <c r="B900" s="1">
        <v>43647</v>
      </c>
      <c r="C900">
        <v>11765.23</v>
      </c>
    </row>
    <row r="901" spans="1:3" x14ac:dyDescent="0.25">
      <c r="A901" t="s">
        <v>5</v>
      </c>
      <c r="B901" s="1">
        <v>43647</v>
      </c>
      <c r="C901">
        <v>1196581.54</v>
      </c>
    </row>
    <row r="902" spans="1:3" x14ac:dyDescent="0.25">
      <c r="A902" t="s">
        <v>5</v>
      </c>
      <c r="B902" s="1">
        <v>43678</v>
      </c>
      <c r="C902">
        <v>1211912</v>
      </c>
    </row>
    <row r="903" spans="1:3" x14ac:dyDescent="0.25">
      <c r="A903" t="s">
        <v>4</v>
      </c>
      <c r="B903" s="1">
        <v>43678</v>
      </c>
      <c r="C903">
        <v>-45</v>
      </c>
    </row>
    <row r="904" spans="1:3" x14ac:dyDescent="0.25">
      <c r="A904" t="s">
        <v>3</v>
      </c>
      <c r="B904" s="1">
        <v>43709</v>
      </c>
      <c r="C904">
        <v>11661</v>
      </c>
    </row>
    <row r="905" spans="1:3" x14ac:dyDescent="0.25">
      <c r="A905" t="s">
        <v>4</v>
      </c>
      <c r="B905" s="1">
        <v>43709</v>
      </c>
      <c r="C905">
        <v>2153</v>
      </c>
    </row>
    <row r="906" spans="1:3" x14ac:dyDescent="0.25">
      <c r="A906" t="s">
        <v>5</v>
      </c>
      <c r="B906" s="1">
        <v>43709</v>
      </c>
      <c r="C906">
        <v>2763378</v>
      </c>
    </row>
    <row r="907" spans="1:3" x14ac:dyDescent="0.25">
      <c r="A907" t="s">
        <v>5</v>
      </c>
      <c r="B907" s="1">
        <v>43739</v>
      </c>
      <c r="C907">
        <v>519642</v>
      </c>
    </row>
    <row r="908" spans="1:3" x14ac:dyDescent="0.25">
      <c r="A908" t="s">
        <v>5</v>
      </c>
      <c r="B908" s="1">
        <v>43770</v>
      </c>
      <c r="C908">
        <v>3278654</v>
      </c>
    </row>
    <row r="909" spans="1:3" x14ac:dyDescent="0.25">
      <c r="A909" t="s">
        <v>3</v>
      </c>
      <c r="B909" s="1">
        <v>43770</v>
      </c>
      <c r="C909">
        <v>163855</v>
      </c>
    </row>
    <row r="910" spans="1:3" x14ac:dyDescent="0.25">
      <c r="A910" t="s">
        <v>5</v>
      </c>
      <c r="B910" s="1">
        <v>43800</v>
      </c>
      <c r="C910">
        <v>9666135</v>
      </c>
    </row>
    <row r="911" spans="1:3" x14ac:dyDescent="0.25">
      <c r="A911" t="s">
        <v>3</v>
      </c>
      <c r="B911" s="1">
        <v>43800</v>
      </c>
      <c r="C911">
        <v>5563426</v>
      </c>
    </row>
    <row r="912" spans="1:3" x14ac:dyDescent="0.25">
      <c r="A912" t="s">
        <v>5</v>
      </c>
      <c r="B912" s="1">
        <v>43831</v>
      </c>
      <c r="C912">
        <v>2714597</v>
      </c>
    </row>
    <row r="913" spans="1:3" x14ac:dyDescent="0.25">
      <c r="A913" t="s">
        <v>4</v>
      </c>
      <c r="B913" s="1">
        <v>43831</v>
      </c>
      <c r="C913">
        <v>-237</v>
      </c>
    </row>
    <row r="914" spans="1:3" x14ac:dyDescent="0.25">
      <c r="A914" t="s">
        <v>3</v>
      </c>
      <c r="B914" s="1">
        <v>43831</v>
      </c>
      <c r="C914">
        <v>2448522</v>
      </c>
    </row>
    <row r="915" spans="1:3" x14ac:dyDescent="0.25">
      <c r="A915" t="s">
        <v>3</v>
      </c>
      <c r="B915" s="1">
        <v>43862</v>
      </c>
      <c r="C915">
        <v>3475726.78</v>
      </c>
    </row>
    <row r="916" spans="1:3" x14ac:dyDescent="0.25">
      <c r="A916" t="s">
        <v>5</v>
      </c>
      <c r="B916" s="1">
        <v>43862</v>
      </c>
      <c r="C916">
        <v>1232079</v>
      </c>
    </row>
    <row r="917" spans="1:3" x14ac:dyDescent="0.25">
      <c r="A917" t="s">
        <v>5</v>
      </c>
      <c r="B917" s="1">
        <v>43891</v>
      </c>
      <c r="C917">
        <v>3603444</v>
      </c>
    </row>
    <row r="918" spans="1:3" x14ac:dyDescent="0.25">
      <c r="A918" t="s">
        <v>3</v>
      </c>
      <c r="B918" s="1">
        <v>43891</v>
      </c>
      <c r="C918">
        <v>5079928</v>
      </c>
    </row>
    <row r="919" spans="1:3" x14ac:dyDescent="0.25">
      <c r="A919" t="s">
        <v>3</v>
      </c>
      <c r="B919" s="1">
        <v>43922</v>
      </c>
      <c r="C919">
        <v>7293164.0199999996</v>
      </c>
    </row>
    <row r="920" spans="1:3" x14ac:dyDescent="0.25">
      <c r="A920" t="s">
        <v>3</v>
      </c>
      <c r="B920" s="1">
        <v>43952</v>
      </c>
      <c r="C920">
        <v>4956129</v>
      </c>
    </row>
    <row r="921" spans="1:3" x14ac:dyDescent="0.25">
      <c r="A921" t="s">
        <v>5</v>
      </c>
      <c r="B921" s="1">
        <v>43952</v>
      </c>
      <c r="C921">
        <v>1730041</v>
      </c>
    </row>
    <row r="922" spans="1:3" x14ac:dyDescent="0.25">
      <c r="A922" t="s">
        <v>4</v>
      </c>
      <c r="B922" s="1">
        <v>43983</v>
      </c>
      <c r="C922">
        <v>210646.79</v>
      </c>
    </row>
    <row r="923" spans="1:3" x14ac:dyDescent="0.25">
      <c r="A923" t="s">
        <v>5</v>
      </c>
      <c r="B923" s="1">
        <v>43983</v>
      </c>
      <c r="C923">
        <v>2893669</v>
      </c>
    </row>
    <row r="924" spans="1:3" x14ac:dyDescent="0.25">
      <c r="A924" t="s">
        <v>5</v>
      </c>
      <c r="B924" s="1">
        <v>44013</v>
      </c>
      <c r="C924">
        <v>1322184</v>
      </c>
    </row>
    <row r="925" spans="1:3" x14ac:dyDescent="0.25">
      <c r="A925" t="s">
        <v>5</v>
      </c>
      <c r="B925" s="1">
        <v>44044</v>
      </c>
      <c r="C925">
        <v>1495122</v>
      </c>
    </row>
    <row r="926" spans="1:3" x14ac:dyDescent="0.25">
      <c r="A926" t="s">
        <v>3</v>
      </c>
      <c r="B926" s="1">
        <v>44044</v>
      </c>
      <c r="C926">
        <v>2601</v>
      </c>
    </row>
    <row r="927" spans="1:3" x14ac:dyDescent="0.25">
      <c r="A927" t="s">
        <v>4</v>
      </c>
      <c r="B927" s="1">
        <v>44044</v>
      </c>
      <c r="C927">
        <v>-492</v>
      </c>
    </row>
    <row r="928" spans="1:3" x14ac:dyDescent="0.25">
      <c r="A928" t="s">
        <v>5</v>
      </c>
      <c r="B928" s="1">
        <v>44075</v>
      </c>
      <c r="C928">
        <v>5534295</v>
      </c>
    </row>
    <row r="929" spans="1:3" x14ac:dyDescent="0.25">
      <c r="A929" t="s">
        <v>3</v>
      </c>
      <c r="B929" s="1">
        <v>44105</v>
      </c>
      <c r="C929">
        <v>2644907.85</v>
      </c>
    </row>
    <row r="930" spans="1:3" x14ac:dyDescent="0.25">
      <c r="A930" t="s">
        <v>5</v>
      </c>
      <c r="B930" s="1">
        <v>44105</v>
      </c>
      <c r="C930">
        <v>1149834.1499999999</v>
      </c>
    </row>
    <row r="931" spans="1:3" x14ac:dyDescent="0.25">
      <c r="A931" t="s">
        <v>4</v>
      </c>
      <c r="B931" s="1">
        <v>44105</v>
      </c>
      <c r="C931">
        <v>-11</v>
      </c>
    </row>
    <row r="932" spans="1:3" x14ac:dyDescent="0.25">
      <c r="A932" t="s">
        <v>3</v>
      </c>
      <c r="B932" s="1">
        <v>44136</v>
      </c>
      <c r="C932">
        <v>305064</v>
      </c>
    </row>
    <row r="933" spans="1:3" x14ac:dyDescent="0.25">
      <c r="A933" t="s">
        <v>5</v>
      </c>
      <c r="B933" s="1">
        <v>44136</v>
      </c>
      <c r="C933">
        <v>4356799</v>
      </c>
    </row>
    <row r="934" spans="1:3" x14ac:dyDescent="0.25">
      <c r="A934" t="s">
        <v>5</v>
      </c>
      <c r="B934" s="1">
        <v>44166</v>
      </c>
      <c r="C934">
        <v>20152259.449999999</v>
      </c>
    </row>
    <row r="935" spans="1:3" x14ac:dyDescent="0.25">
      <c r="A935" t="s">
        <v>5</v>
      </c>
      <c r="B935" s="1">
        <v>44197</v>
      </c>
      <c r="C935">
        <v>2928426</v>
      </c>
    </row>
    <row r="936" spans="1:3" x14ac:dyDescent="0.25">
      <c r="A936" t="s">
        <v>3</v>
      </c>
      <c r="B936" s="1">
        <v>44197</v>
      </c>
      <c r="C936">
        <v>3878154</v>
      </c>
    </row>
    <row r="937" spans="1:3" x14ac:dyDescent="0.25">
      <c r="A937" t="s">
        <v>5</v>
      </c>
      <c r="B937" s="1">
        <v>44228</v>
      </c>
      <c r="C937">
        <v>1949146</v>
      </c>
    </row>
    <row r="938" spans="1:3" x14ac:dyDescent="0.25">
      <c r="A938" t="s">
        <v>4</v>
      </c>
      <c r="B938" s="1">
        <v>44256</v>
      </c>
      <c r="C938">
        <v>-5796</v>
      </c>
    </row>
    <row r="939" spans="1:3" x14ac:dyDescent="0.25">
      <c r="A939" t="s">
        <v>5</v>
      </c>
      <c r="B939" s="1">
        <v>44256</v>
      </c>
      <c r="C939">
        <v>5513633</v>
      </c>
    </row>
    <row r="940" spans="1:3" x14ac:dyDescent="0.25">
      <c r="A940" t="s">
        <v>3</v>
      </c>
      <c r="B940" s="1">
        <v>44287</v>
      </c>
      <c r="C940">
        <v>3135055</v>
      </c>
    </row>
    <row r="941" spans="1:3" x14ac:dyDescent="0.25">
      <c r="A941" t="s">
        <v>5</v>
      </c>
      <c r="B941" s="1">
        <v>44287</v>
      </c>
      <c r="C941">
        <v>2555923</v>
      </c>
    </row>
    <row r="942" spans="1:3" x14ac:dyDescent="0.25">
      <c r="A942" t="s">
        <v>4</v>
      </c>
      <c r="B942" s="1">
        <v>44287</v>
      </c>
      <c r="C942">
        <v>-14030</v>
      </c>
    </row>
    <row r="943" spans="1:3" x14ac:dyDescent="0.25">
      <c r="A943" t="s">
        <v>4</v>
      </c>
      <c r="B943" s="1">
        <v>44317</v>
      </c>
      <c r="C943">
        <v>-7686</v>
      </c>
    </row>
    <row r="944" spans="1:3" x14ac:dyDescent="0.25">
      <c r="A944" t="s">
        <v>5</v>
      </c>
      <c r="B944" s="1">
        <v>44317</v>
      </c>
      <c r="C944">
        <v>3483880</v>
      </c>
    </row>
    <row r="945" spans="1:3" x14ac:dyDescent="0.25">
      <c r="A945" t="s">
        <v>4</v>
      </c>
      <c r="B945" s="1">
        <v>44348</v>
      </c>
      <c r="C945">
        <v>-12605</v>
      </c>
    </row>
    <row r="946" spans="1:3" x14ac:dyDescent="0.25">
      <c r="A946" t="s">
        <v>5</v>
      </c>
      <c r="B946" s="1">
        <v>44348</v>
      </c>
      <c r="C946">
        <v>4552336</v>
      </c>
    </row>
    <row r="947" spans="1:3" x14ac:dyDescent="0.25">
      <c r="A947" t="s">
        <v>5</v>
      </c>
      <c r="B947" s="1">
        <v>44378</v>
      </c>
      <c r="C947">
        <v>2486438</v>
      </c>
    </row>
    <row r="948" spans="1:3" x14ac:dyDescent="0.25">
      <c r="A948" t="s">
        <v>5</v>
      </c>
      <c r="B948" s="1">
        <v>44409</v>
      </c>
      <c r="C948">
        <v>2580244</v>
      </c>
    </row>
    <row r="949" spans="1:3" x14ac:dyDescent="0.25">
      <c r="A949" t="s">
        <v>4</v>
      </c>
      <c r="B949" s="1">
        <v>44440</v>
      </c>
      <c r="C949">
        <v>-10288</v>
      </c>
    </row>
    <row r="950" spans="1:3" x14ac:dyDescent="0.25">
      <c r="A950" t="s">
        <v>5</v>
      </c>
      <c r="B950" s="1">
        <v>44440</v>
      </c>
      <c r="C950">
        <v>2007009</v>
      </c>
    </row>
    <row r="951" spans="1:3" x14ac:dyDescent="0.25">
      <c r="A951" t="s">
        <v>3</v>
      </c>
      <c r="B951" s="1">
        <v>44470</v>
      </c>
      <c r="C951">
        <v>10054087</v>
      </c>
    </row>
    <row r="952" spans="1:3" x14ac:dyDescent="0.25">
      <c r="A952" t="s">
        <v>4</v>
      </c>
      <c r="B952" s="1">
        <v>44470</v>
      </c>
      <c r="C952">
        <v>-34358</v>
      </c>
    </row>
    <row r="953" spans="1:3" x14ac:dyDescent="0.25">
      <c r="A953" t="s">
        <v>5</v>
      </c>
      <c r="B953" s="1">
        <v>44470</v>
      </c>
      <c r="C953">
        <v>4724124</v>
      </c>
    </row>
    <row r="954" spans="1:3" x14ac:dyDescent="0.25">
      <c r="A954" t="s">
        <v>4</v>
      </c>
      <c r="B954" s="1">
        <v>44501</v>
      </c>
      <c r="C954">
        <v>-41005</v>
      </c>
    </row>
    <row r="955" spans="1:3" x14ac:dyDescent="0.25">
      <c r="A955" t="s">
        <v>5</v>
      </c>
      <c r="B955" s="1">
        <v>44501</v>
      </c>
      <c r="C955">
        <v>3615562</v>
      </c>
    </row>
    <row r="956" spans="1:3" x14ac:dyDescent="0.25">
      <c r="A956" t="s">
        <v>3</v>
      </c>
      <c r="B956" s="1">
        <v>44531</v>
      </c>
      <c r="C956">
        <v>3088747.7</v>
      </c>
    </row>
    <row r="957" spans="1:3" x14ac:dyDescent="0.25">
      <c r="A957" t="s">
        <v>5</v>
      </c>
      <c r="B957" s="1">
        <v>44531</v>
      </c>
      <c r="C957">
        <v>11910367</v>
      </c>
    </row>
    <row r="958" spans="1:3" x14ac:dyDescent="0.25">
      <c r="A958" t="s">
        <v>4</v>
      </c>
      <c r="B958" s="1">
        <v>44531</v>
      </c>
      <c r="C958">
        <v>-11428.56</v>
      </c>
    </row>
    <row r="959" spans="1:3" x14ac:dyDescent="0.25">
      <c r="A959" t="s">
        <v>4</v>
      </c>
      <c r="B959" s="1">
        <v>44562</v>
      </c>
      <c r="C959">
        <v>0</v>
      </c>
    </row>
    <row r="960" spans="1:3" x14ac:dyDescent="0.25">
      <c r="A960" t="s">
        <v>5</v>
      </c>
      <c r="B960" s="1">
        <v>44593</v>
      </c>
      <c r="C960">
        <v>864172</v>
      </c>
    </row>
    <row r="961" spans="1:3" x14ac:dyDescent="0.25">
      <c r="A961" t="s">
        <v>5</v>
      </c>
      <c r="B961" s="1">
        <v>44621</v>
      </c>
      <c r="C961">
        <v>3789249</v>
      </c>
    </row>
    <row r="962" spans="1:3" x14ac:dyDescent="0.25">
      <c r="A962" t="s">
        <v>3</v>
      </c>
      <c r="B962" s="1">
        <v>44621</v>
      </c>
      <c r="C962">
        <v>933689.01</v>
      </c>
    </row>
    <row r="963" spans="1:3" x14ac:dyDescent="0.25">
      <c r="A963" t="s">
        <v>5</v>
      </c>
      <c r="B963" s="1">
        <v>44652</v>
      </c>
      <c r="C963">
        <v>6091763</v>
      </c>
    </row>
    <row r="964" spans="1:3" x14ac:dyDescent="0.25">
      <c r="A964" t="s">
        <v>4</v>
      </c>
      <c r="B964" s="1">
        <v>44652</v>
      </c>
      <c r="C964">
        <v>-67148</v>
      </c>
    </row>
    <row r="965" spans="1:3" x14ac:dyDescent="0.25">
      <c r="A965" t="s">
        <v>3</v>
      </c>
      <c r="B965" s="1">
        <v>44682</v>
      </c>
      <c r="C965">
        <v>8981916.3599999994</v>
      </c>
    </row>
    <row r="966" spans="1:3" x14ac:dyDescent="0.25">
      <c r="A966" t="s">
        <v>5</v>
      </c>
      <c r="B966" s="1">
        <v>44682</v>
      </c>
      <c r="C966">
        <v>1391864</v>
      </c>
    </row>
    <row r="967" spans="1:3" x14ac:dyDescent="0.25">
      <c r="A967" t="s">
        <v>5</v>
      </c>
      <c r="B967" s="1">
        <v>44713</v>
      </c>
      <c r="C967">
        <v>3301794</v>
      </c>
    </row>
    <row r="968" spans="1:3" x14ac:dyDescent="0.25">
      <c r="A968" t="s">
        <v>4</v>
      </c>
      <c r="B968" s="1">
        <v>44713</v>
      </c>
      <c r="C968">
        <v>-27060</v>
      </c>
    </row>
    <row r="969" spans="1:3" x14ac:dyDescent="0.25">
      <c r="A969" t="s">
        <v>3</v>
      </c>
      <c r="B969" s="1">
        <v>44713</v>
      </c>
      <c r="C969">
        <v>5439229</v>
      </c>
    </row>
    <row r="970" spans="1:3" x14ac:dyDescent="0.25">
      <c r="A970" t="s">
        <v>5</v>
      </c>
      <c r="B970" s="1">
        <v>44743</v>
      </c>
      <c r="C970">
        <v>897532</v>
      </c>
    </row>
    <row r="971" spans="1:3" x14ac:dyDescent="0.25">
      <c r="A971" t="s">
        <v>3</v>
      </c>
      <c r="B971" s="1">
        <v>44774</v>
      </c>
      <c r="C971">
        <v>642020</v>
      </c>
    </row>
    <row r="972" spans="1:3" x14ac:dyDescent="0.25">
      <c r="A972" t="s">
        <v>4</v>
      </c>
      <c r="B972" s="1">
        <v>44774</v>
      </c>
      <c r="C972">
        <v>-39954</v>
      </c>
    </row>
    <row r="973" spans="1:3" x14ac:dyDescent="0.25">
      <c r="A973" t="s">
        <v>5</v>
      </c>
      <c r="B973" s="1">
        <v>44774</v>
      </c>
      <c r="C973">
        <v>1161505</v>
      </c>
    </row>
    <row r="974" spans="1:3" x14ac:dyDescent="0.25">
      <c r="A974" t="s">
        <v>4</v>
      </c>
      <c r="B974" s="1">
        <v>44805</v>
      </c>
      <c r="C974">
        <v>-31107</v>
      </c>
    </row>
    <row r="975" spans="1:3" x14ac:dyDescent="0.25">
      <c r="A975" t="s">
        <v>3</v>
      </c>
      <c r="B975" s="1">
        <v>44805</v>
      </c>
      <c r="C975">
        <v>2065231</v>
      </c>
    </row>
    <row r="976" spans="1:3" x14ac:dyDescent="0.25">
      <c r="A976" t="s">
        <v>5</v>
      </c>
      <c r="B976" s="1">
        <v>44805</v>
      </c>
      <c r="C976">
        <v>647823</v>
      </c>
    </row>
    <row r="977" spans="1:3" x14ac:dyDescent="0.25">
      <c r="A977" t="s">
        <v>4</v>
      </c>
      <c r="B977" s="1">
        <v>44835</v>
      </c>
      <c r="C977">
        <v>-53546</v>
      </c>
    </row>
    <row r="978" spans="1:3" x14ac:dyDescent="0.25">
      <c r="A978" t="s">
        <v>5</v>
      </c>
      <c r="B978" s="1">
        <v>44866</v>
      </c>
      <c r="C978">
        <v>5136144</v>
      </c>
    </row>
    <row r="979" spans="1:3" x14ac:dyDescent="0.25">
      <c r="A979" t="s">
        <v>3</v>
      </c>
      <c r="B979" s="1">
        <v>44866</v>
      </c>
      <c r="C979">
        <v>98447</v>
      </c>
    </row>
    <row r="980" spans="1:3" x14ac:dyDescent="0.25">
      <c r="A980" t="s">
        <v>4</v>
      </c>
      <c r="B980" s="1">
        <v>44896</v>
      </c>
      <c r="C980">
        <v>-10548</v>
      </c>
    </row>
    <row r="981" spans="1:3" x14ac:dyDescent="0.25">
      <c r="A981" t="s">
        <v>3</v>
      </c>
      <c r="B981" s="1">
        <v>44896</v>
      </c>
      <c r="C981">
        <v>5038.29</v>
      </c>
    </row>
    <row r="982" spans="1:3" x14ac:dyDescent="0.25">
      <c r="A982" t="s">
        <v>5</v>
      </c>
      <c r="B982" s="1">
        <v>44896</v>
      </c>
      <c r="C982">
        <v>8080490.1299999999</v>
      </c>
    </row>
    <row r="983" spans="1:3" x14ac:dyDescent="0.25">
      <c r="A983" t="s">
        <v>5</v>
      </c>
      <c r="B983" s="1">
        <v>44927</v>
      </c>
      <c r="C983">
        <v>2920240</v>
      </c>
    </row>
    <row r="984" spans="1:3" x14ac:dyDescent="0.25">
      <c r="A984" t="s">
        <v>3</v>
      </c>
      <c r="B984" s="1">
        <v>44927</v>
      </c>
      <c r="C984">
        <v>2866377.16</v>
      </c>
    </row>
    <row r="985" spans="1:3" x14ac:dyDescent="0.25">
      <c r="A985" t="s">
        <v>4</v>
      </c>
      <c r="B985" s="1">
        <v>44927</v>
      </c>
      <c r="C985">
        <v>-131</v>
      </c>
    </row>
    <row r="986" spans="1:3" x14ac:dyDescent="0.25">
      <c r="A986" t="s">
        <v>5</v>
      </c>
      <c r="B986" s="1">
        <v>44958</v>
      </c>
      <c r="C986">
        <v>1667580</v>
      </c>
    </row>
    <row r="987" spans="1:3" x14ac:dyDescent="0.25">
      <c r="A987" t="s">
        <v>4</v>
      </c>
      <c r="B987" s="1">
        <v>44958</v>
      </c>
      <c r="C987">
        <v>-154</v>
      </c>
    </row>
    <row r="988" spans="1:3" x14ac:dyDescent="0.25">
      <c r="A988" t="s">
        <v>3</v>
      </c>
      <c r="B988" s="1">
        <v>44986</v>
      </c>
      <c r="C988">
        <v>1525328</v>
      </c>
    </row>
    <row r="989" spans="1:3" x14ac:dyDescent="0.25">
      <c r="A989" t="s">
        <v>4</v>
      </c>
      <c r="B989" s="1">
        <v>44986</v>
      </c>
      <c r="C989">
        <v>-4485</v>
      </c>
    </row>
    <row r="990" spans="1:3" x14ac:dyDescent="0.25">
      <c r="A990" t="s">
        <v>5</v>
      </c>
      <c r="B990" s="1">
        <v>44986</v>
      </c>
      <c r="C990">
        <v>1233020</v>
      </c>
    </row>
    <row r="991" spans="1:3" x14ac:dyDescent="0.25">
      <c r="A991" t="s">
        <v>3</v>
      </c>
      <c r="B991" s="1">
        <v>45017</v>
      </c>
      <c r="C991">
        <v>11197303.01</v>
      </c>
    </row>
    <row r="992" spans="1:3" x14ac:dyDescent="0.25">
      <c r="A992" t="s">
        <v>5</v>
      </c>
      <c r="B992" s="1">
        <v>45017</v>
      </c>
      <c r="C992">
        <v>1581398</v>
      </c>
    </row>
    <row r="993" spans="1:3" x14ac:dyDescent="0.25">
      <c r="A993" t="s">
        <v>4</v>
      </c>
      <c r="B993" s="1">
        <v>45047</v>
      </c>
      <c r="C993">
        <v>-6512</v>
      </c>
    </row>
    <row r="994" spans="1:3" x14ac:dyDescent="0.25">
      <c r="A994" t="s">
        <v>5</v>
      </c>
      <c r="B994" s="1">
        <v>45047</v>
      </c>
      <c r="C994">
        <v>1762261.5</v>
      </c>
    </row>
    <row r="995" spans="1:3" x14ac:dyDescent="0.25">
      <c r="A995" t="s">
        <v>3</v>
      </c>
      <c r="B995" s="1">
        <v>45047</v>
      </c>
      <c r="C995">
        <v>4036735.03</v>
      </c>
    </row>
    <row r="996" spans="1:3" x14ac:dyDescent="0.25">
      <c r="A996" t="s">
        <v>4</v>
      </c>
      <c r="B996" s="1">
        <v>45078</v>
      </c>
      <c r="C996">
        <v>-76035</v>
      </c>
    </row>
    <row r="997" spans="1:3" x14ac:dyDescent="0.25">
      <c r="A997" t="s">
        <v>3</v>
      </c>
      <c r="B997" s="1">
        <v>45078</v>
      </c>
      <c r="C997">
        <v>4660390.01</v>
      </c>
    </row>
    <row r="998" spans="1:3" x14ac:dyDescent="0.25">
      <c r="A998" t="s">
        <v>4</v>
      </c>
      <c r="B998" s="1">
        <v>45108</v>
      </c>
      <c r="C998">
        <v>14222303</v>
      </c>
    </row>
    <row r="999" spans="1:3" x14ac:dyDescent="0.25">
      <c r="A999" t="s">
        <v>5</v>
      </c>
      <c r="B999" s="1">
        <v>45108</v>
      </c>
      <c r="C999">
        <v>1551478</v>
      </c>
    </row>
    <row r="1000" spans="1:3" x14ac:dyDescent="0.25">
      <c r="A1000" t="s">
        <v>5</v>
      </c>
      <c r="B1000" s="1">
        <v>45139</v>
      </c>
      <c r="C1000">
        <v>125548</v>
      </c>
    </row>
    <row r="1001" spans="1:3" x14ac:dyDescent="0.25">
      <c r="A1001" t="s">
        <v>3</v>
      </c>
      <c r="B1001" s="1">
        <v>45139</v>
      </c>
      <c r="C1001">
        <v>0</v>
      </c>
    </row>
  </sheetData>
  <autoFilter ref="A1:C1001" xr:uid="{00000000-0009-0000-0000-000000000000}">
    <sortState xmlns:xlrd2="http://schemas.microsoft.com/office/spreadsheetml/2017/richdata2" ref="A2:C1001">
      <sortCondition ref="B2:B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9"/>
  <sheetViews>
    <sheetView workbookViewId="0"/>
  </sheetViews>
  <sheetFormatPr defaultRowHeight="15" x14ac:dyDescent="0.25"/>
  <cols>
    <col min="1" max="1" width="16.28515625" bestFit="1" customWidth="1"/>
    <col min="2" max="2" width="14.42578125" bestFit="1" customWidth="1"/>
    <col min="3" max="3" width="19.5703125" bestFit="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4</v>
      </c>
      <c r="B2" s="2">
        <v>36526</v>
      </c>
      <c r="C2">
        <v>0</v>
      </c>
    </row>
    <row r="3" spans="1:3" x14ac:dyDescent="0.25">
      <c r="A3" t="s">
        <v>3</v>
      </c>
      <c r="B3" s="2">
        <v>36526</v>
      </c>
      <c r="C3">
        <v>121670</v>
      </c>
    </row>
    <row r="4" spans="1:3" x14ac:dyDescent="0.25">
      <c r="A4" t="s">
        <v>3</v>
      </c>
      <c r="B4" s="2">
        <v>36617</v>
      </c>
      <c r="C4">
        <v>1630925</v>
      </c>
    </row>
    <row r="5" spans="1:3" x14ac:dyDescent="0.25">
      <c r="A5" t="s">
        <v>5</v>
      </c>
      <c r="B5" s="2">
        <v>36647</v>
      </c>
      <c r="C5">
        <v>3729</v>
      </c>
    </row>
    <row r="6" spans="1:3" x14ac:dyDescent="0.25">
      <c r="A6" t="s">
        <v>3</v>
      </c>
      <c r="B6" s="2">
        <v>36647</v>
      </c>
      <c r="C6">
        <v>12339342</v>
      </c>
    </row>
    <row r="7" spans="1:3" x14ac:dyDescent="0.25">
      <c r="A7" t="s">
        <v>3</v>
      </c>
      <c r="B7" s="2">
        <v>36678</v>
      </c>
      <c r="C7">
        <v>10396080</v>
      </c>
    </row>
    <row r="8" spans="1:3" x14ac:dyDescent="0.25">
      <c r="A8" t="s">
        <v>3</v>
      </c>
      <c r="B8" s="2">
        <v>36708</v>
      </c>
      <c r="C8">
        <v>5174232</v>
      </c>
    </row>
    <row r="9" spans="1:3" x14ac:dyDescent="0.25">
      <c r="A9" t="s">
        <v>3</v>
      </c>
      <c r="B9" s="2">
        <v>36739</v>
      </c>
      <c r="C9">
        <v>3260662</v>
      </c>
    </row>
    <row r="10" spans="1:3" x14ac:dyDescent="0.25">
      <c r="A10" t="s">
        <v>3</v>
      </c>
      <c r="B10" s="2">
        <v>36770</v>
      </c>
      <c r="C10">
        <v>0</v>
      </c>
    </row>
    <row r="11" spans="1:3" x14ac:dyDescent="0.25">
      <c r="A11" t="s">
        <v>5</v>
      </c>
      <c r="B11" s="2">
        <v>36770</v>
      </c>
      <c r="C11">
        <v>26015</v>
      </c>
    </row>
    <row r="12" spans="1:3" x14ac:dyDescent="0.25">
      <c r="A12" t="s">
        <v>5</v>
      </c>
      <c r="B12" s="2">
        <v>36800</v>
      </c>
      <c r="C12">
        <v>50701</v>
      </c>
    </row>
    <row r="13" spans="1:3" x14ac:dyDescent="0.25">
      <c r="A13" t="s">
        <v>3</v>
      </c>
      <c r="B13" s="2">
        <v>36800</v>
      </c>
      <c r="C13">
        <v>132038</v>
      </c>
    </row>
    <row r="14" spans="1:3" x14ac:dyDescent="0.25">
      <c r="A14" t="s">
        <v>3</v>
      </c>
      <c r="B14" s="2">
        <v>36861</v>
      </c>
      <c r="C14">
        <v>10317340</v>
      </c>
    </row>
    <row r="15" spans="1:3" x14ac:dyDescent="0.25">
      <c r="A15" t="s">
        <v>3</v>
      </c>
      <c r="B15" s="2">
        <v>36892</v>
      </c>
      <c r="C15">
        <v>3409</v>
      </c>
    </row>
    <row r="16" spans="1:3" x14ac:dyDescent="0.25">
      <c r="A16" t="s">
        <v>4</v>
      </c>
      <c r="B16" s="2">
        <v>36892</v>
      </c>
      <c r="C16">
        <v>184221</v>
      </c>
    </row>
    <row r="17" spans="1:3" x14ac:dyDescent="0.25">
      <c r="A17" t="s">
        <v>3</v>
      </c>
      <c r="B17" s="2">
        <v>36923</v>
      </c>
      <c r="C17">
        <v>115640</v>
      </c>
    </row>
    <row r="18" spans="1:3" x14ac:dyDescent="0.25">
      <c r="A18" t="s">
        <v>3</v>
      </c>
      <c r="B18" s="2">
        <v>36951</v>
      </c>
      <c r="C18">
        <v>2033805</v>
      </c>
    </row>
    <row r="19" spans="1:3" x14ac:dyDescent="0.25">
      <c r="A19" t="s">
        <v>3</v>
      </c>
      <c r="B19" s="2">
        <v>36982</v>
      </c>
      <c r="C19">
        <v>2679394</v>
      </c>
    </row>
    <row r="20" spans="1:3" x14ac:dyDescent="0.25">
      <c r="A20" t="s">
        <v>5</v>
      </c>
      <c r="B20" s="2">
        <v>37012</v>
      </c>
      <c r="C20">
        <v>269902</v>
      </c>
    </row>
    <row r="21" spans="1:3" x14ac:dyDescent="0.25">
      <c r="A21" t="s">
        <v>3</v>
      </c>
      <c r="B21" s="2">
        <v>37012</v>
      </c>
      <c r="C21">
        <v>10315584</v>
      </c>
    </row>
    <row r="22" spans="1:3" x14ac:dyDescent="0.25">
      <c r="A22" t="s">
        <v>5</v>
      </c>
      <c r="B22" s="2">
        <v>37043</v>
      </c>
      <c r="C22">
        <v>396299</v>
      </c>
    </row>
    <row r="23" spans="1:3" x14ac:dyDescent="0.25">
      <c r="A23" t="s">
        <v>3</v>
      </c>
      <c r="B23" s="2">
        <v>37043</v>
      </c>
      <c r="C23">
        <v>6586247</v>
      </c>
    </row>
    <row r="24" spans="1:3" x14ac:dyDescent="0.25">
      <c r="A24" t="s">
        <v>3</v>
      </c>
      <c r="B24" s="2">
        <v>37073</v>
      </c>
      <c r="C24">
        <v>9687567</v>
      </c>
    </row>
    <row r="25" spans="1:3" x14ac:dyDescent="0.25">
      <c r="A25" t="s">
        <v>5</v>
      </c>
      <c r="B25" s="2">
        <v>37073</v>
      </c>
      <c r="C25">
        <v>7763</v>
      </c>
    </row>
    <row r="26" spans="1:3" x14ac:dyDescent="0.25">
      <c r="A26" t="s">
        <v>3</v>
      </c>
      <c r="B26" s="2">
        <v>37104</v>
      </c>
      <c r="C26">
        <v>14253564</v>
      </c>
    </row>
    <row r="27" spans="1:3" x14ac:dyDescent="0.25">
      <c r="A27" t="s">
        <v>5</v>
      </c>
      <c r="B27" s="2">
        <v>37135</v>
      </c>
      <c r="C27">
        <v>0</v>
      </c>
    </row>
    <row r="28" spans="1:3" x14ac:dyDescent="0.25">
      <c r="A28" t="s">
        <v>3</v>
      </c>
      <c r="B28" s="2">
        <v>37135</v>
      </c>
      <c r="C28">
        <v>3722336</v>
      </c>
    </row>
    <row r="29" spans="1:3" x14ac:dyDescent="0.25">
      <c r="A29" t="s">
        <v>5</v>
      </c>
      <c r="B29" s="2">
        <v>37165</v>
      </c>
      <c r="C29">
        <v>68499</v>
      </c>
    </row>
    <row r="30" spans="1:3" x14ac:dyDescent="0.25">
      <c r="A30" t="s">
        <v>3</v>
      </c>
      <c r="B30" s="2">
        <v>37165</v>
      </c>
      <c r="C30">
        <v>54</v>
      </c>
    </row>
    <row r="31" spans="1:3" x14ac:dyDescent="0.25">
      <c r="A31" t="s">
        <v>3</v>
      </c>
      <c r="B31" s="2">
        <v>37196</v>
      </c>
      <c r="C31">
        <v>2954</v>
      </c>
    </row>
    <row r="32" spans="1:3" x14ac:dyDescent="0.25">
      <c r="A32" t="s">
        <v>5</v>
      </c>
      <c r="B32" s="2">
        <v>37226</v>
      </c>
      <c r="C32">
        <v>13709</v>
      </c>
    </row>
    <row r="33" spans="1:3" x14ac:dyDescent="0.25">
      <c r="A33" t="s">
        <v>3</v>
      </c>
      <c r="B33" s="2">
        <v>37226</v>
      </c>
      <c r="C33">
        <v>5208876</v>
      </c>
    </row>
    <row r="34" spans="1:3" x14ac:dyDescent="0.25">
      <c r="A34" t="s">
        <v>5</v>
      </c>
      <c r="B34" s="2">
        <v>37257</v>
      </c>
      <c r="C34">
        <v>0</v>
      </c>
    </row>
    <row r="35" spans="1:3" x14ac:dyDescent="0.25">
      <c r="A35" t="s">
        <v>3</v>
      </c>
      <c r="B35" s="2">
        <v>37257</v>
      </c>
      <c r="C35">
        <v>8582638</v>
      </c>
    </row>
    <row r="36" spans="1:3" x14ac:dyDescent="0.25">
      <c r="A36" t="s">
        <v>3</v>
      </c>
      <c r="B36" s="2">
        <v>37288</v>
      </c>
      <c r="C36">
        <v>6278114</v>
      </c>
    </row>
    <row r="37" spans="1:3" x14ac:dyDescent="0.25">
      <c r="A37" t="s">
        <v>3</v>
      </c>
      <c r="B37" s="2">
        <v>37316</v>
      </c>
      <c r="C37">
        <v>2273313</v>
      </c>
    </row>
    <row r="38" spans="1:3" x14ac:dyDescent="0.25">
      <c r="A38" t="s">
        <v>3</v>
      </c>
      <c r="B38" s="2">
        <v>37347</v>
      </c>
      <c r="C38">
        <v>7496329</v>
      </c>
    </row>
    <row r="39" spans="1:3" x14ac:dyDescent="0.25">
      <c r="A39" t="s">
        <v>5</v>
      </c>
      <c r="B39" s="2">
        <v>37377</v>
      </c>
      <c r="C39">
        <v>16508</v>
      </c>
    </row>
    <row r="40" spans="1:3" x14ac:dyDescent="0.25">
      <c r="A40" t="s">
        <v>3</v>
      </c>
      <c r="B40" s="2">
        <v>37377</v>
      </c>
      <c r="C40">
        <v>25254566</v>
      </c>
    </row>
    <row r="41" spans="1:3" x14ac:dyDescent="0.25">
      <c r="A41" t="s">
        <v>3</v>
      </c>
      <c r="B41" s="2">
        <v>37408</v>
      </c>
      <c r="C41">
        <v>24645537</v>
      </c>
    </row>
    <row r="42" spans="1:3" x14ac:dyDescent="0.25">
      <c r="A42" t="s">
        <v>5</v>
      </c>
      <c r="B42" s="2">
        <v>37408</v>
      </c>
      <c r="C42">
        <v>29485</v>
      </c>
    </row>
    <row r="43" spans="1:3" x14ac:dyDescent="0.25">
      <c r="A43" t="s">
        <v>3</v>
      </c>
      <c r="B43" s="2">
        <v>37438</v>
      </c>
      <c r="C43">
        <v>20131998</v>
      </c>
    </row>
    <row r="44" spans="1:3" x14ac:dyDescent="0.25">
      <c r="A44" t="s">
        <v>3</v>
      </c>
      <c r="B44" s="2">
        <v>37469</v>
      </c>
      <c r="C44">
        <v>15300577</v>
      </c>
    </row>
    <row r="45" spans="1:3" x14ac:dyDescent="0.25">
      <c r="A45" t="s">
        <v>3</v>
      </c>
      <c r="B45" s="2">
        <v>37500</v>
      </c>
      <c r="C45">
        <v>1641466</v>
      </c>
    </row>
    <row r="46" spans="1:3" x14ac:dyDescent="0.25">
      <c r="A46" t="s">
        <v>5</v>
      </c>
      <c r="B46" s="2">
        <v>37500</v>
      </c>
      <c r="C46">
        <v>277945</v>
      </c>
    </row>
    <row r="47" spans="1:3" x14ac:dyDescent="0.25">
      <c r="A47" t="s">
        <v>3</v>
      </c>
      <c r="B47" s="2">
        <v>37530</v>
      </c>
      <c r="C47">
        <v>11144954</v>
      </c>
    </row>
    <row r="48" spans="1:3" x14ac:dyDescent="0.25">
      <c r="A48" t="s">
        <v>5</v>
      </c>
      <c r="B48" s="2">
        <v>37561</v>
      </c>
      <c r="C48">
        <v>9109</v>
      </c>
    </row>
    <row r="49" spans="1:3" x14ac:dyDescent="0.25">
      <c r="A49" t="s">
        <v>3</v>
      </c>
      <c r="B49" s="2">
        <v>37561</v>
      </c>
      <c r="C49">
        <v>81242</v>
      </c>
    </row>
    <row r="50" spans="1:3" x14ac:dyDescent="0.25">
      <c r="A50" t="s">
        <v>5</v>
      </c>
      <c r="B50" s="2">
        <v>37591</v>
      </c>
      <c r="C50">
        <v>210277</v>
      </c>
    </row>
    <row r="51" spans="1:3" x14ac:dyDescent="0.25">
      <c r="A51" t="s">
        <v>3</v>
      </c>
      <c r="B51" s="2">
        <v>37591</v>
      </c>
      <c r="C51">
        <v>5438894</v>
      </c>
    </row>
    <row r="52" spans="1:3" x14ac:dyDescent="0.25">
      <c r="A52" t="s">
        <v>3</v>
      </c>
      <c r="B52" s="2">
        <v>37622</v>
      </c>
      <c r="C52">
        <v>6283421</v>
      </c>
    </row>
    <row r="53" spans="1:3" x14ac:dyDescent="0.25">
      <c r="A53" t="s">
        <v>3</v>
      </c>
      <c r="B53" s="2">
        <v>37653</v>
      </c>
      <c r="C53">
        <v>2525973</v>
      </c>
    </row>
    <row r="54" spans="1:3" x14ac:dyDescent="0.25">
      <c r="A54" t="s">
        <v>3</v>
      </c>
      <c r="B54" s="2">
        <v>37681</v>
      </c>
      <c r="C54">
        <v>3671795</v>
      </c>
    </row>
    <row r="55" spans="1:3" x14ac:dyDescent="0.25">
      <c r="A55" t="s">
        <v>3</v>
      </c>
      <c r="B55" s="2">
        <v>37712</v>
      </c>
      <c r="C55">
        <v>7352435</v>
      </c>
    </row>
    <row r="56" spans="1:3" x14ac:dyDescent="0.25">
      <c r="A56" t="s">
        <v>3</v>
      </c>
      <c r="B56" s="2">
        <v>37742</v>
      </c>
      <c r="C56">
        <v>11266884</v>
      </c>
    </row>
    <row r="57" spans="1:3" x14ac:dyDescent="0.25">
      <c r="A57" t="s">
        <v>3</v>
      </c>
      <c r="B57" s="2">
        <v>37773</v>
      </c>
      <c r="C57">
        <v>44196655</v>
      </c>
    </row>
    <row r="58" spans="1:3" x14ac:dyDescent="0.25">
      <c r="A58" t="s">
        <v>3</v>
      </c>
      <c r="B58" s="2">
        <v>37803</v>
      </c>
      <c r="C58">
        <v>38329803</v>
      </c>
    </row>
    <row r="59" spans="1:3" x14ac:dyDescent="0.25">
      <c r="A59" t="s">
        <v>3</v>
      </c>
      <c r="B59" s="2">
        <v>37834</v>
      </c>
      <c r="C59">
        <v>15768581</v>
      </c>
    </row>
    <row r="60" spans="1:3" x14ac:dyDescent="0.25">
      <c r="A60" t="s">
        <v>5</v>
      </c>
      <c r="B60" s="2">
        <v>37865</v>
      </c>
      <c r="C60">
        <v>425474</v>
      </c>
    </row>
    <row r="61" spans="1:3" x14ac:dyDescent="0.25">
      <c r="A61" t="s">
        <v>3</v>
      </c>
      <c r="B61" s="2">
        <v>37895</v>
      </c>
      <c r="C61">
        <v>2437152</v>
      </c>
    </row>
    <row r="62" spans="1:3" x14ac:dyDescent="0.25">
      <c r="A62" t="s">
        <v>5</v>
      </c>
      <c r="B62" s="2">
        <v>37895</v>
      </c>
      <c r="C62">
        <v>119384</v>
      </c>
    </row>
    <row r="63" spans="1:3" x14ac:dyDescent="0.25">
      <c r="A63" t="s">
        <v>5</v>
      </c>
      <c r="B63" s="2">
        <v>37926</v>
      </c>
      <c r="C63">
        <v>0</v>
      </c>
    </row>
    <row r="64" spans="1:3" x14ac:dyDescent="0.25">
      <c r="A64" t="s">
        <v>3</v>
      </c>
      <c r="B64" s="2">
        <v>37926</v>
      </c>
      <c r="C64">
        <v>775418</v>
      </c>
    </row>
    <row r="65" spans="1:3" x14ac:dyDescent="0.25">
      <c r="A65" t="s">
        <v>4</v>
      </c>
      <c r="B65" s="2">
        <v>37956</v>
      </c>
      <c r="C65">
        <v>-1666</v>
      </c>
    </row>
    <row r="66" spans="1:3" x14ac:dyDescent="0.25">
      <c r="A66" t="s">
        <v>3</v>
      </c>
      <c r="B66" s="2">
        <v>37956</v>
      </c>
      <c r="C66">
        <v>9075121</v>
      </c>
    </row>
    <row r="67" spans="1:3" x14ac:dyDescent="0.25">
      <c r="A67" t="s">
        <v>5</v>
      </c>
      <c r="B67" s="2">
        <v>37956</v>
      </c>
      <c r="C67">
        <v>23972</v>
      </c>
    </row>
    <row r="68" spans="1:3" x14ac:dyDescent="0.25">
      <c r="A68" t="s">
        <v>3</v>
      </c>
      <c r="B68" s="2">
        <v>37987</v>
      </c>
      <c r="C68">
        <v>7647047</v>
      </c>
    </row>
    <row r="69" spans="1:3" x14ac:dyDescent="0.25">
      <c r="A69" t="s">
        <v>5</v>
      </c>
      <c r="B69" s="2">
        <v>37987</v>
      </c>
      <c r="C69">
        <v>0</v>
      </c>
    </row>
    <row r="70" spans="1:3" x14ac:dyDescent="0.25">
      <c r="A70" t="s">
        <v>3</v>
      </c>
      <c r="B70" s="2">
        <v>38018</v>
      </c>
      <c r="C70">
        <v>1831041</v>
      </c>
    </row>
    <row r="71" spans="1:3" x14ac:dyDescent="0.25">
      <c r="A71" t="s">
        <v>3</v>
      </c>
      <c r="B71" s="2">
        <v>38047</v>
      </c>
      <c r="C71">
        <v>8039125</v>
      </c>
    </row>
    <row r="72" spans="1:3" x14ac:dyDescent="0.25">
      <c r="A72" t="s">
        <v>4</v>
      </c>
      <c r="B72" s="2">
        <v>38047</v>
      </c>
      <c r="C72">
        <v>0</v>
      </c>
    </row>
    <row r="73" spans="1:3" x14ac:dyDescent="0.25">
      <c r="A73" t="s">
        <v>3</v>
      </c>
      <c r="B73" s="2">
        <v>38078</v>
      </c>
      <c r="C73">
        <v>2775687</v>
      </c>
    </row>
    <row r="74" spans="1:3" x14ac:dyDescent="0.25">
      <c r="A74" t="s">
        <v>3</v>
      </c>
      <c r="B74" s="2">
        <v>38108</v>
      </c>
      <c r="C74">
        <v>21819802</v>
      </c>
    </row>
    <row r="75" spans="1:3" x14ac:dyDescent="0.25">
      <c r="A75" t="s">
        <v>3</v>
      </c>
      <c r="B75" s="2">
        <v>38139</v>
      </c>
      <c r="C75">
        <v>16505777</v>
      </c>
    </row>
    <row r="76" spans="1:3" x14ac:dyDescent="0.25">
      <c r="A76" t="s">
        <v>3</v>
      </c>
      <c r="B76" s="2">
        <v>38169</v>
      </c>
      <c r="C76">
        <v>2388014</v>
      </c>
    </row>
    <row r="77" spans="1:3" x14ac:dyDescent="0.25">
      <c r="A77" t="s">
        <v>3</v>
      </c>
      <c r="B77" s="2">
        <v>38200</v>
      </c>
      <c r="C77">
        <v>15054</v>
      </c>
    </row>
    <row r="78" spans="1:3" x14ac:dyDescent="0.25">
      <c r="A78" t="s">
        <v>3</v>
      </c>
      <c r="B78" s="2">
        <v>38231</v>
      </c>
      <c r="C78">
        <v>1433750</v>
      </c>
    </row>
    <row r="79" spans="1:3" x14ac:dyDescent="0.25">
      <c r="A79" t="s">
        <v>3</v>
      </c>
      <c r="B79" s="2">
        <v>38292</v>
      </c>
      <c r="C79">
        <v>1372518</v>
      </c>
    </row>
    <row r="80" spans="1:3" x14ac:dyDescent="0.25">
      <c r="A80" t="s">
        <v>3</v>
      </c>
      <c r="B80" s="2">
        <v>38322</v>
      </c>
      <c r="C80">
        <v>5615917</v>
      </c>
    </row>
    <row r="81" spans="1:3" x14ac:dyDescent="0.25">
      <c r="A81" t="s">
        <v>3</v>
      </c>
      <c r="B81" s="2">
        <v>38353</v>
      </c>
      <c r="C81">
        <v>92</v>
      </c>
    </row>
    <row r="82" spans="1:3" x14ac:dyDescent="0.25">
      <c r="A82" t="s">
        <v>5</v>
      </c>
      <c r="B82" s="2">
        <v>38384</v>
      </c>
      <c r="C82">
        <v>1860</v>
      </c>
    </row>
    <row r="83" spans="1:3" x14ac:dyDescent="0.25">
      <c r="A83" t="s">
        <v>3</v>
      </c>
      <c r="B83" s="2">
        <v>38384</v>
      </c>
      <c r="C83">
        <v>2924920</v>
      </c>
    </row>
    <row r="84" spans="1:3" x14ac:dyDescent="0.25">
      <c r="A84" t="s">
        <v>3</v>
      </c>
      <c r="B84" s="2">
        <v>38412</v>
      </c>
      <c r="C84">
        <v>564445</v>
      </c>
    </row>
    <row r="85" spans="1:3" x14ac:dyDescent="0.25">
      <c r="A85" t="s">
        <v>5</v>
      </c>
      <c r="B85" s="2">
        <v>38443</v>
      </c>
      <c r="C85">
        <v>0</v>
      </c>
    </row>
    <row r="86" spans="1:3" x14ac:dyDescent="0.25">
      <c r="A86" t="s">
        <v>4</v>
      </c>
      <c r="B86" s="2">
        <v>38443</v>
      </c>
      <c r="C86">
        <v>0</v>
      </c>
    </row>
    <row r="87" spans="1:3" x14ac:dyDescent="0.25">
      <c r="A87" t="s">
        <v>3</v>
      </c>
      <c r="B87" s="2">
        <v>38443</v>
      </c>
      <c r="C87">
        <v>2916195</v>
      </c>
    </row>
    <row r="88" spans="1:3" x14ac:dyDescent="0.25">
      <c r="A88" t="s">
        <v>3</v>
      </c>
      <c r="B88" s="2">
        <v>38473</v>
      </c>
      <c r="C88">
        <v>888769</v>
      </c>
    </row>
    <row r="89" spans="1:3" x14ac:dyDescent="0.25">
      <c r="A89" t="s">
        <v>5</v>
      </c>
      <c r="B89" s="2">
        <v>38504</v>
      </c>
      <c r="C89">
        <v>0</v>
      </c>
    </row>
    <row r="90" spans="1:3" x14ac:dyDescent="0.25">
      <c r="A90" t="s">
        <v>4</v>
      </c>
      <c r="B90" s="2">
        <v>38504</v>
      </c>
      <c r="C90">
        <v>1457</v>
      </c>
    </row>
    <row r="91" spans="1:3" x14ac:dyDescent="0.25">
      <c r="A91" t="s">
        <v>3</v>
      </c>
      <c r="B91" s="2">
        <v>38504</v>
      </c>
      <c r="C91">
        <v>22462699</v>
      </c>
    </row>
    <row r="92" spans="1:3" x14ac:dyDescent="0.25">
      <c r="A92" t="s">
        <v>3</v>
      </c>
      <c r="B92" s="2">
        <v>38534</v>
      </c>
      <c r="C92">
        <v>5623114</v>
      </c>
    </row>
    <row r="93" spans="1:3" x14ac:dyDescent="0.25">
      <c r="A93" t="s">
        <v>5</v>
      </c>
      <c r="B93" s="2">
        <v>38596</v>
      </c>
      <c r="C93">
        <v>0</v>
      </c>
    </row>
    <row r="94" spans="1:3" x14ac:dyDescent="0.25">
      <c r="A94" t="s">
        <v>3</v>
      </c>
      <c r="B94" s="2">
        <v>38596</v>
      </c>
      <c r="C94">
        <v>991424</v>
      </c>
    </row>
    <row r="95" spans="1:3" x14ac:dyDescent="0.25">
      <c r="A95" t="s">
        <v>5</v>
      </c>
      <c r="B95" s="2">
        <v>38626</v>
      </c>
      <c r="C95">
        <v>4586</v>
      </c>
    </row>
    <row r="96" spans="1:3" x14ac:dyDescent="0.25">
      <c r="A96" t="s">
        <v>3</v>
      </c>
      <c r="B96" s="2">
        <v>38626</v>
      </c>
      <c r="C96">
        <v>234862</v>
      </c>
    </row>
    <row r="97" spans="1:3" x14ac:dyDescent="0.25">
      <c r="A97" t="s">
        <v>3</v>
      </c>
      <c r="B97" s="2">
        <v>38657</v>
      </c>
      <c r="C97">
        <v>914639</v>
      </c>
    </row>
    <row r="98" spans="1:3" x14ac:dyDescent="0.25">
      <c r="A98" t="s">
        <v>5</v>
      </c>
      <c r="B98" s="2">
        <v>38657</v>
      </c>
      <c r="C98">
        <v>54609</v>
      </c>
    </row>
    <row r="99" spans="1:3" x14ac:dyDescent="0.25">
      <c r="A99" t="s">
        <v>3</v>
      </c>
      <c r="B99" s="2">
        <v>38687</v>
      </c>
      <c r="C99">
        <v>2249388</v>
      </c>
    </row>
    <row r="100" spans="1:3" x14ac:dyDescent="0.25">
      <c r="A100" t="s">
        <v>5</v>
      </c>
      <c r="B100" s="2">
        <v>38687</v>
      </c>
      <c r="C100">
        <v>409679</v>
      </c>
    </row>
    <row r="101" spans="1:3" x14ac:dyDescent="0.25">
      <c r="A101" t="s">
        <v>5</v>
      </c>
      <c r="B101" s="2">
        <v>38718</v>
      </c>
      <c r="C101">
        <v>57358</v>
      </c>
    </row>
    <row r="102" spans="1:3" x14ac:dyDescent="0.25">
      <c r="A102" t="s">
        <v>3</v>
      </c>
      <c r="B102" s="2">
        <v>38718</v>
      </c>
      <c r="C102">
        <v>4882509</v>
      </c>
    </row>
    <row r="103" spans="1:3" x14ac:dyDescent="0.25">
      <c r="A103" t="s">
        <v>5</v>
      </c>
      <c r="B103" s="2">
        <v>38749</v>
      </c>
      <c r="C103">
        <v>28758</v>
      </c>
    </row>
    <row r="104" spans="1:3" x14ac:dyDescent="0.25">
      <c r="A104" t="s">
        <v>3</v>
      </c>
      <c r="B104" s="2">
        <v>38749</v>
      </c>
      <c r="C104">
        <v>3158059</v>
      </c>
    </row>
    <row r="105" spans="1:3" x14ac:dyDescent="0.25">
      <c r="A105" t="s">
        <v>5</v>
      </c>
      <c r="B105" s="2">
        <v>38777</v>
      </c>
      <c r="C105">
        <v>48813</v>
      </c>
    </row>
    <row r="106" spans="1:3" x14ac:dyDescent="0.25">
      <c r="A106" t="s">
        <v>3</v>
      </c>
      <c r="B106" s="2">
        <v>38777</v>
      </c>
      <c r="C106">
        <v>3352928</v>
      </c>
    </row>
    <row r="107" spans="1:3" x14ac:dyDescent="0.25">
      <c r="A107" t="s">
        <v>3</v>
      </c>
      <c r="B107" s="2">
        <v>38808</v>
      </c>
      <c r="C107">
        <v>11832815</v>
      </c>
    </row>
    <row r="108" spans="1:3" x14ac:dyDescent="0.25">
      <c r="A108" t="s">
        <v>4</v>
      </c>
      <c r="B108" s="2">
        <v>38808</v>
      </c>
      <c r="C108">
        <v>69153</v>
      </c>
    </row>
    <row r="109" spans="1:3" x14ac:dyDescent="0.25">
      <c r="A109" t="s">
        <v>3</v>
      </c>
      <c r="B109" s="2">
        <v>38838</v>
      </c>
      <c r="C109">
        <v>2684520</v>
      </c>
    </row>
    <row r="110" spans="1:3" x14ac:dyDescent="0.25">
      <c r="A110" t="s">
        <v>5</v>
      </c>
      <c r="B110" s="2">
        <v>38869</v>
      </c>
      <c r="C110">
        <v>1589198</v>
      </c>
    </row>
    <row r="111" spans="1:3" x14ac:dyDescent="0.25">
      <c r="A111" t="s">
        <v>3</v>
      </c>
      <c r="B111" s="2">
        <v>38869</v>
      </c>
      <c r="C111">
        <v>3005063</v>
      </c>
    </row>
    <row r="112" spans="1:3" x14ac:dyDescent="0.25">
      <c r="A112" t="s">
        <v>3</v>
      </c>
      <c r="B112" s="2">
        <v>38899</v>
      </c>
      <c r="C112">
        <v>14581</v>
      </c>
    </row>
    <row r="113" spans="1:3" x14ac:dyDescent="0.25">
      <c r="A113" t="s">
        <v>3</v>
      </c>
      <c r="B113" s="2">
        <v>38930</v>
      </c>
      <c r="C113">
        <v>547</v>
      </c>
    </row>
    <row r="114" spans="1:3" x14ac:dyDescent="0.25">
      <c r="A114" t="s">
        <v>5</v>
      </c>
      <c r="B114" s="2">
        <v>38930</v>
      </c>
      <c r="C114">
        <v>40835</v>
      </c>
    </row>
    <row r="115" spans="1:3" x14ac:dyDescent="0.25">
      <c r="A115" t="s">
        <v>3</v>
      </c>
      <c r="B115" s="2">
        <v>38961</v>
      </c>
      <c r="C115">
        <v>8305</v>
      </c>
    </row>
    <row r="116" spans="1:3" x14ac:dyDescent="0.25">
      <c r="A116" t="s">
        <v>5</v>
      </c>
      <c r="B116" s="2">
        <v>38961</v>
      </c>
      <c r="C116">
        <v>24489</v>
      </c>
    </row>
    <row r="117" spans="1:3" x14ac:dyDescent="0.25">
      <c r="A117" t="s">
        <v>5</v>
      </c>
      <c r="B117" s="2">
        <v>38991</v>
      </c>
      <c r="C117">
        <v>339894</v>
      </c>
    </row>
    <row r="118" spans="1:3" x14ac:dyDescent="0.25">
      <c r="A118" t="s">
        <v>3</v>
      </c>
      <c r="B118" s="2">
        <v>38991</v>
      </c>
      <c r="C118">
        <v>508166</v>
      </c>
    </row>
    <row r="119" spans="1:3" x14ac:dyDescent="0.25">
      <c r="A119" t="s">
        <v>4</v>
      </c>
      <c r="B119" s="2">
        <v>38991</v>
      </c>
      <c r="C119">
        <v>81948</v>
      </c>
    </row>
    <row r="120" spans="1:3" x14ac:dyDescent="0.25">
      <c r="A120" t="s">
        <v>3</v>
      </c>
      <c r="B120" s="2">
        <v>39022</v>
      </c>
      <c r="C120">
        <v>2160573</v>
      </c>
    </row>
    <row r="121" spans="1:3" x14ac:dyDescent="0.25">
      <c r="A121" t="s">
        <v>3</v>
      </c>
      <c r="B121" s="2">
        <v>39052</v>
      </c>
      <c r="C121">
        <v>2368792</v>
      </c>
    </row>
    <row r="122" spans="1:3" x14ac:dyDescent="0.25">
      <c r="A122" t="s">
        <v>5</v>
      </c>
      <c r="B122" s="2">
        <v>39052</v>
      </c>
      <c r="C122">
        <v>361351</v>
      </c>
    </row>
    <row r="123" spans="1:3" x14ac:dyDescent="0.25">
      <c r="A123" t="s">
        <v>3</v>
      </c>
      <c r="B123" s="2">
        <v>39083</v>
      </c>
      <c r="C123">
        <v>111</v>
      </c>
    </row>
    <row r="124" spans="1:3" x14ac:dyDescent="0.25">
      <c r="A124" t="s">
        <v>5</v>
      </c>
      <c r="B124" s="2">
        <v>39083</v>
      </c>
      <c r="C124">
        <v>61746</v>
      </c>
    </row>
    <row r="125" spans="1:3" x14ac:dyDescent="0.25">
      <c r="A125" t="s">
        <v>4</v>
      </c>
      <c r="B125" s="2">
        <v>39083</v>
      </c>
      <c r="C125">
        <v>0</v>
      </c>
    </row>
    <row r="126" spans="1:3" x14ac:dyDescent="0.25">
      <c r="A126" t="s">
        <v>3</v>
      </c>
      <c r="B126" s="2">
        <v>39114</v>
      </c>
      <c r="C126">
        <v>89413</v>
      </c>
    </row>
    <row r="127" spans="1:3" x14ac:dyDescent="0.25">
      <c r="A127" t="s">
        <v>5</v>
      </c>
      <c r="B127" s="2">
        <v>39142</v>
      </c>
      <c r="C127">
        <v>338245</v>
      </c>
    </row>
    <row r="128" spans="1:3" x14ac:dyDescent="0.25">
      <c r="A128" t="s">
        <v>3</v>
      </c>
      <c r="B128" s="2">
        <v>39142</v>
      </c>
      <c r="C128">
        <v>293008</v>
      </c>
    </row>
    <row r="129" spans="1:3" x14ac:dyDescent="0.25">
      <c r="A129" t="s">
        <v>5</v>
      </c>
      <c r="B129" s="2">
        <v>39173</v>
      </c>
      <c r="C129">
        <v>179106</v>
      </c>
    </row>
    <row r="130" spans="1:3" x14ac:dyDescent="0.25">
      <c r="A130" t="s">
        <v>3</v>
      </c>
      <c r="B130" s="2">
        <v>39173</v>
      </c>
      <c r="C130">
        <v>40766</v>
      </c>
    </row>
    <row r="131" spans="1:3" x14ac:dyDescent="0.25">
      <c r="A131" t="s">
        <v>3</v>
      </c>
      <c r="B131" s="2">
        <v>39203</v>
      </c>
      <c r="C131">
        <v>5112466</v>
      </c>
    </row>
    <row r="132" spans="1:3" x14ac:dyDescent="0.25">
      <c r="A132" t="s">
        <v>5</v>
      </c>
      <c r="B132" s="2">
        <v>39203</v>
      </c>
      <c r="C132">
        <v>440160</v>
      </c>
    </row>
    <row r="133" spans="1:3" x14ac:dyDescent="0.25">
      <c r="A133" t="s">
        <v>4</v>
      </c>
      <c r="B133" s="2">
        <v>39203</v>
      </c>
      <c r="C133">
        <v>9396018</v>
      </c>
    </row>
    <row r="134" spans="1:3" x14ac:dyDescent="0.25">
      <c r="A134" t="s">
        <v>3</v>
      </c>
      <c r="B134" s="2">
        <v>39234</v>
      </c>
      <c r="C134">
        <v>6264467</v>
      </c>
    </row>
    <row r="135" spans="1:3" x14ac:dyDescent="0.25">
      <c r="A135" t="s">
        <v>5</v>
      </c>
      <c r="B135" s="2">
        <v>39234</v>
      </c>
      <c r="C135">
        <v>262510</v>
      </c>
    </row>
    <row r="136" spans="1:3" x14ac:dyDescent="0.25">
      <c r="A136" t="s">
        <v>3</v>
      </c>
      <c r="B136" s="2">
        <v>39264</v>
      </c>
      <c r="C136">
        <v>49152</v>
      </c>
    </row>
    <row r="137" spans="1:3" x14ac:dyDescent="0.25">
      <c r="A137" t="s">
        <v>5</v>
      </c>
      <c r="B137" s="2">
        <v>39264</v>
      </c>
      <c r="C137">
        <v>284191</v>
      </c>
    </row>
    <row r="138" spans="1:3" x14ac:dyDescent="0.25">
      <c r="A138" t="s">
        <v>4</v>
      </c>
      <c r="B138" s="2">
        <v>39295</v>
      </c>
      <c r="C138">
        <v>200366</v>
      </c>
    </row>
    <row r="139" spans="1:3" x14ac:dyDescent="0.25">
      <c r="A139" t="s">
        <v>3</v>
      </c>
      <c r="B139" s="2">
        <v>39295</v>
      </c>
      <c r="C139">
        <v>1018</v>
      </c>
    </row>
    <row r="140" spans="1:3" x14ac:dyDescent="0.25">
      <c r="A140" t="s">
        <v>5</v>
      </c>
      <c r="B140" s="2">
        <v>39326</v>
      </c>
      <c r="C140">
        <v>187317</v>
      </c>
    </row>
    <row r="141" spans="1:3" x14ac:dyDescent="0.25">
      <c r="A141" t="s">
        <v>3</v>
      </c>
      <c r="B141" s="2">
        <v>39356</v>
      </c>
      <c r="C141">
        <v>986393</v>
      </c>
    </row>
    <row r="142" spans="1:3" x14ac:dyDescent="0.25">
      <c r="A142" t="s">
        <v>5</v>
      </c>
      <c r="B142" s="2">
        <v>39356</v>
      </c>
      <c r="C142">
        <v>296801</v>
      </c>
    </row>
    <row r="143" spans="1:3" x14ac:dyDescent="0.25">
      <c r="A143" t="s">
        <v>3</v>
      </c>
      <c r="B143" s="2">
        <v>39387</v>
      </c>
      <c r="C143">
        <v>12945</v>
      </c>
    </row>
    <row r="144" spans="1:3" x14ac:dyDescent="0.25">
      <c r="A144" t="s">
        <v>5</v>
      </c>
      <c r="B144" s="2">
        <v>39387</v>
      </c>
      <c r="C144">
        <v>644478</v>
      </c>
    </row>
    <row r="145" spans="1:3" x14ac:dyDescent="0.25">
      <c r="A145" t="s">
        <v>3</v>
      </c>
      <c r="B145" s="2">
        <v>39417</v>
      </c>
      <c r="C145">
        <v>8064580</v>
      </c>
    </row>
    <row r="146" spans="1:3" x14ac:dyDescent="0.25">
      <c r="A146" t="s">
        <v>5</v>
      </c>
      <c r="B146" s="2">
        <v>39417</v>
      </c>
      <c r="C146">
        <v>521344</v>
      </c>
    </row>
    <row r="147" spans="1:3" x14ac:dyDescent="0.25">
      <c r="A147" t="s">
        <v>5</v>
      </c>
      <c r="B147" s="2">
        <v>39448</v>
      </c>
      <c r="C147">
        <v>185454</v>
      </c>
    </row>
    <row r="148" spans="1:3" x14ac:dyDescent="0.25">
      <c r="A148" t="s">
        <v>5</v>
      </c>
      <c r="B148" s="2">
        <v>39479</v>
      </c>
      <c r="C148">
        <v>329021</v>
      </c>
    </row>
    <row r="149" spans="1:3" x14ac:dyDescent="0.25">
      <c r="A149" t="s">
        <v>5</v>
      </c>
      <c r="B149" s="2">
        <v>39508</v>
      </c>
      <c r="C149">
        <v>319678</v>
      </c>
    </row>
    <row r="150" spans="1:3" x14ac:dyDescent="0.25">
      <c r="A150" t="s">
        <v>3</v>
      </c>
      <c r="B150" s="2">
        <v>39508</v>
      </c>
      <c r="C150">
        <v>873243</v>
      </c>
    </row>
    <row r="151" spans="1:3" x14ac:dyDescent="0.25">
      <c r="A151" t="s">
        <v>5</v>
      </c>
      <c r="B151" s="2">
        <v>39539</v>
      </c>
      <c r="C151">
        <v>120563</v>
      </c>
    </row>
    <row r="152" spans="1:3" x14ac:dyDescent="0.25">
      <c r="A152" t="s">
        <v>3</v>
      </c>
      <c r="B152" s="2">
        <v>39539</v>
      </c>
      <c r="C152">
        <v>461286</v>
      </c>
    </row>
    <row r="153" spans="1:3" x14ac:dyDescent="0.25">
      <c r="A153" t="s">
        <v>5</v>
      </c>
      <c r="B153" s="2">
        <v>39569</v>
      </c>
      <c r="C153">
        <v>1609671</v>
      </c>
    </row>
    <row r="154" spans="1:3" x14ac:dyDescent="0.25">
      <c r="A154" t="s">
        <v>3</v>
      </c>
      <c r="B154" s="2">
        <v>39569</v>
      </c>
      <c r="C154">
        <v>19806609</v>
      </c>
    </row>
    <row r="155" spans="1:3" x14ac:dyDescent="0.25">
      <c r="A155" t="s">
        <v>3</v>
      </c>
      <c r="B155" s="2">
        <v>39600</v>
      </c>
      <c r="C155">
        <v>1838064</v>
      </c>
    </row>
    <row r="156" spans="1:3" x14ac:dyDescent="0.25">
      <c r="A156" t="s">
        <v>3</v>
      </c>
      <c r="B156" s="2">
        <v>39630</v>
      </c>
      <c r="C156">
        <v>4683144</v>
      </c>
    </row>
    <row r="157" spans="1:3" x14ac:dyDescent="0.25">
      <c r="A157" t="s">
        <v>5</v>
      </c>
      <c r="B157" s="2">
        <v>39630</v>
      </c>
      <c r="C157">
        <v>947345</v>
      </c>
    </row>
    <row r="158" spans="1:3" x14ac:dyDescent="0.25">
      <c r="A158" t="s">
        <v>3</v>
      </c>
      <c r="B158" s="2">
        <v>39661</v>
      </c>
      <c r="C158">
        <v>33029</v>
      </c>
    </row>
    <row r="159" spans="1:3" x14ac:dyDescent="0.25">
      <c r="A159" t="s">
        <v>5</v>
      </c>
      <c r="B159" s="2">
        <v>39661</v>
      </c>
      <c r="C159">
        <v>281407</v>
      </c>
    </row>
    <row r="160" spans="1:3" x14ac:dyDescent="0.25">
      <c r="A160" t="s">
        <v>3</v>
      </c>
      <c r="B160" s="2">
        <v>39692</v>
      </c>
      <c r="C160">
        <v>2551276</v>
      </c>
    </row>
    <row r="161" spans="1:3" x14ac:dyDescent="0.25">
      <c r="A161" t="s">
        <v>5</v>
      </c>
      <c r="B161" s="2">
        <v>39692</v>
      </c>
      <c r="C161">
        <v>226301</v>
      </c>
    </row>
    <row r="162" spans="1:3" x14ac:dyDescent="0.25">
      <c r="A162" t="s">
        <v>3</v>
      </c>
      <c r="B162" s="2">
        <v>39722</v>
      </c>
      <c r="C162">
        <v>5714799</v>
      </c>
    </row>
    <row r="163" spans="1:3" x14ac:dyDescent="0.25">
      <c r="A163" t="s">
        <v>5</v>
      </c>
      <c r="B163" s="2">
        <v>39722</v>
      </c>
      <c r="C163">
        <v>606282</v>
      </c>
    </row>
    <row r="164" spans="1:3" x14ac:dyDescent="0.25">
      <c r="A164" t="s">
        <v>3</v>
      </c>
      <c r="B164" s="2">
        <v>39753</v>
      </c>
      <c r="C164">
        <v>492718</v>
      </c>
    </row>
    <row r="165" spans="1:3" x14ac:dyDescent="0.25">
      <c r="A165" t="s">
        <v>5</v>
      </c>
      <c r="B165" s="2">
        <v>39783</v>
      </c>
      <c r="C165">
        <v>2004777</v>
      </c>
    </row>
    <row r="166" spans="1:3" x14ac:dyDescent="0.25">
      <c r="A166" t="s">
        <v>3</v>
      </c>
      <c r="B166" s="2">
        <v>39814</v>
      </c>
      <c r="C166">
        <v>1833722</v>
      </c>
    </row>
    <row r="167" spans="1:3" x14ac:dyDescent="0.25">
      <c r="A167" t="s">
        <v>5</v>
      </c>
      <c r="B167" s="2">
        <v>39814</v>
      </c>
      <c r="C167">
        <v>473260</v>
      </c>
    </row>
    <row r="168" spans="1:3" x14ac:dyDescent="0.25">
      <c r="A168" t="s">
        <v>5</v>
      </c>
      <c r="B168" s="2">
        <v>39845</v>
      </c>
      <c r="C168">
        <v>225077</v>
      </c>
    </row>
    <row r="169" spans="1:3" x14ac:dyDescent="0.25">
      <c r="A169" t="s">
        <v>3</v>
      </c>
      <c r="B169" s="2">
        <v>39845</v>
      </c>
      <c r="C169">
        <v>867570</v>
      </c>
    </row>
    <row r="170" spans="1:3" x14ac:dyDescent="0.25">
      <c r="A170" t="s">
        <v>3</v>
      </c>
      <c r="B170" s="2">
        <v>39873</v>
      </c>
      <c r="C170">
        <v>14615</v>
      </c>
    </row>
    <row r="171" spans="1:3" x14ac:dyDescent="0.25">
      <c r="A171" t="s">
        <v>4</v>
      </c>
      <c r="B171" s="2">
        <v>39873</v>
      </c>
      <c r="C171">
        <v>715</v>
      </c>
    </row>
    <row r="172" spans="1:3" x14ac:dyDescent="0.25">
      <c r="A172" t="s">
        <v>5</v>
      </c>
      <c r="B172" s="2">
        <v>39873</v>
      </c>
      <c r="C172">
        <v>38948</v>
      </c>
    </row>
    <row r="173" spans="1:3" x14ac:dyDescent="0.25">
      <c r="A173" t="s">
        <v>3</v>
      </c>
      <c r="B173" s="2">
        <v>39904</v>
      </c>
      <c r="C173">
        <v>5902756</v>
      </c>
    </row>
    <row r="174" spans="1:3" x14ac:dyDescent="0.25">
      <c r="A174" t="s">
        <v>4</v>
      </c>
      <c r="B174" s="2">
        <v>39904</v>
      </c>
      <c r="C174">
        <v>59663</v>
      </c>
    </row>
    <row r="175" spans="1:3" x14ac:dyDescent="0.25">
      <c r="A175" t="s">
        <v>5</v>
      </c>
      <c r="B175" s="2">
        <v>39904</v>
      </c>
      <c r="C175">
        <v>388514</v>
      </c>
    </row>
    <row r="176" spans="1:3" x14ac:dyDescent="0.25">
      <c r="A176" t="s">
        <v>3</v>
      </c>
      <c r="B176" s="2">
        <v>39934</v>
      </c>
      <c r="C176">
        <v>10965051</v>
      </c>
    </row>
    <row r="177" spans="1:3" x14ac:dyDescent="0.25">
      <c r="A177" t="s">
        <v>5</v>
      </c>
      <c r="B177" s="2">
        <v>39934</v>
      </c>
      <c r="C177">
        <v>84371</v>
      </c>
    </row>
    <row r="178" spans="1:3" x14ac:dyDescent="0.25">
      <c r="A178" t="s">
        <v>4</v>
      </c>
      <c r="B178" s="2">
        <v>39965</v>
      </c>
      <c r="C178">
        <v>145355</v>
      </c>
    </row>
    <row r="179" spans="1:3" x14ac:dyDescent="0.25">
      <c r="A179" t="s">
        <v>3</v>
      </c>
      <c r="B179" s="2">
        <v>39965</v>
      </c>
      <c r="C179">
        <v>5790328</v>
      </c>
    </row>
    <row r="180" spans="1:3" x14ac:dyDescent="0.25">
      <c r="A180" t="s">
        <v>5</v>
      </c>
      <c r="B180" s="2">
        <v>39995</v>
      </c>
      <c r="C180">
        <v>0</v>
      </c>
    </row>
    <row r="181" spans="1:3" x14ac:dyDescent="0.25">
      <c r="A181" t="s">
        <v>3</v>
      </c>
      <c r="B181" s="2">
        <v>39995</v>
      </c>
      <c r="C181">
        <v>5041877</v>
      </c>
    </row>
    <row r="182" spans="1:3" x14ac:dyDescent="0.25">
      <c r="A182" t="s">
        <v>3</v>
      </c>
      <c r="B182" s="2">
        <v>40026</v>
      </c>
      <c r="C182">
        <v>1669380</v>
      </c>
    </row>
    <row r="183" spans="1:3" x14ac:dyDescent="0.25">
      <c r="A183" t="s">
        <v>3</v>
      </c>
      <c r="B183" s="2">
        <v>40057</v>
      </c>
      <c r="C183">
        <v>53705</v>
      </c>
    </row>
    <row r="184" spans="1:3" x14ac:dyDescent="0.25">
      <c r="A184" t="s">
        <v>5</v>
      </c>
      <c r="B184" s="2">
        <v>40057</v>
      </c>
      <c r="C184">
        <v>399892</v>
      </c>
    </row>
    <row r="185" spans="1:3" x14ac:dyDescent="0.25">
      <c r="A185" t="s">
        <v>3</v>
      </c>
      <c r="B185" s="2">
        <v>40087</v>
      </c>
      <c r="C185">
        <v>1374778</v>
      </c>
    </row>
    <row r="186" spans="1:3" x14ac:dyDescent="0.25">
      <c r="A186" t="s">
        <v>5</v>
      </c>
      <c r="B186" s="2">
        <v>40087</v>
      </c>
      <c r="C186">
        <v>71130</v>
      </c>
    </row>
    <row r="187" spans="1:3" x14ac:dyDescent="0.25">
      <c r="A187" t="s">
        <v>3</v>
      </c>
      <c r="B187" s="2">
        <v>40118</v>
      </c>
      <c r="C187">
        <v>1725</v>
      </c>
    </row>
    <row r="188" spans="1:3" x14ac:dyDescent="0.25">
      <c r="A188" t="s">
        <v>5</v>
      </c>
      <c r="B188" s="2">
        <v>40118</v>
      </c>
      <c r="C188">
        <v>549730</v>
      </c>
    </row>
    <row r="189" spans="1:3" x14ac:dyDescent="0.25">
      <c r="A189" t="s">
        <v>4</v>
      </c>
      <c r="B189" s="2">
        <v>40148</v>
      </c>
      <c r="C189">
        <v>54375</v>
      </c>
    </row>
    <row r="190" spans="1:3" x14ac:dyDescent="0.25">
      <c r="A190" t="s">
        <v>3</v>
      </c>
      <c r="B190" s="2">
        <v>40148</v>
      </c>
      <c r="C190">
        <v>43446</v>
      </c>
    </row>
    <row r="191" spans="1:3" x14ac:dyDescent="0.25">
      <c r="A191" t="s">
        <v>5</v>
      </c>
      <c r="B191" s="2">
        <v>40148</v>
      </c>
      <c r="C191">
        <v>1416348</v>
      </c>
    </row>
    <row r="192" spans="1:3" x14ac:dyDescent="0.25">
      <c r="A192" t="s">
        <v>3</v>
      </c>
      <c r="B192" s="2">
        <v>40179</v>
      </c>
      <c r="C192">
        <v>3147420</v>
      </c>
    </row>
    <row r="193" spans="1:3" x14ac:dyDescent="0.25">
      <c r="A193" t="s">
        <v>5</v>
      </c>
      <c r="B193" s="2">
        <v>40179</v>
      </c>
      <c r="C193">
        <v>168790</v>
      </c>
    </row>
    <row r="194" spans="1:3" x14ac:dyDescent="0.25">
      <c r="A194" t="s">
        <v>3</v>
      </c>
      <c r="B194" s="2">
        <v>40210</v>
      </c>
      <c r="C194">
        <v>6359620</v>
      </c>
    </row>
    <row r="195" spans="1:3" x14ac:dyDescent="0.25">
      <c r="A195" t="s">
        <v>5</v>
      </c>
      <c r="B195" s="2">
        <v>40210</v>
      </c>
      <c r="C195">
        <v>17280</v>
      </c>
    </row>
    <row r="196" spans="1:3" x14ac:dyDescent="0.25">
      <c r="A196" t="s">
        <v>4</v>
      </c>
      <c r="B196" s="2">
        <v>40238</v>
      </c>
      <c r="C196">
        <v>0</v>
      </c>
    </row>
    <row r="197" spans="1:3" x14ac:dyDescent="0.25">
      <c r="A197" t="s">
        <v>5</v>
      </c>
      <c r="B197" s="2">
        <v>40238</v>
      </c>
      <c r="C197">
        <v>665051</v>
      </c>
    </row>
    <row r="198" spans="1:3" x14ac:dyDescent="0.25">
      <c r="A198" t="s">
        <v>3</v>
      </c>
      <c r="B198" s="2">
        <v>40238</v>
      </c>
      <c r="C198">
        <v>2035339</v>
      </c>
    </row>
    <row r="199" spans="1:3" x14ac:dyDescent="0.25">
      <c r="A199" t="s">
        <v>5</v>
      </c>
      <c r="B199" s="2">
        <v>40269</v>
      </c>
      <c r="C199">
        <v>277787</v>
      </c>
    </row>
    <row r="200" spans="1:3" x14ac:dyDescent="0.25">
      <c r="A200" t="s">
        <v>4</v>
      </c>
      <c r="B200" s="2">
        <v>40299</v>
      </c>
      <c r="C200">
        <v>0</v>
      </c>
    </row>
    <row r="201" spans="1:3" x14ac:dyDescent="0.25">
      <c r="A201" t="s">
        <v>3</v>
      </c>
      <c r="B201" s="2">
        <v>40299</v>
      </c>
      <c r="C201">
        <v>3789767</v>
      </c>
    </row>
    <row r="202" spans="1:3" x14ac:dyDescent="0.25">
      <c r="A202" t="s">
        <v>5</v>
      </c>
      <c r="B202" s="2">
        <v>40299</v>
      </c>
      <c r="C202">
        <v>262200</v>
      </c>
    </row>
    <row r="203" spans="1:3" x14ac:dyDescent="0.25">
      <c r="A203" t="s">
        <v>5</v>
      </c>
      <c r="B203" s="2">
        <v>40330</v>
      </c>
      <c r="C203">
        <v>6037</v>
      </c>
    </row>
    <row r="204" spans="1:3" x14ac:dyDescent="0.25">
      <c r="A204" t="s">
        <v>3</v>
      </c>
      <c r="B204" s="2">
        <v>40330</v>
      </c>
      <c r="C204">
        <v>6263682</v>
      </c>
    </row>
    <row r="205" spans="1:3" x14ac:dyDescent="0.25">
      <c r="A205" t="s">
        <v>4</v>
      </c>
      <c r="B205" s="2">
        <v>40330</v>
      </c>
      <c r="C205">
        <v>187722</v>
      </c>
    </row>
    <row r="206" spans="1:3" x14ac:dyDescent="0.25">
      <c r="A206" t="s">
        <v>5</v>
      </c>
      <c r="B206" s="2">
        <v>40360</v>
      </c>
      <c r="C206">
        <v>2849</v>
      </c>
    </row>
    <row r="207" spans="1:3" x14ac:dyDescent="0.25">
      <c r="A207" t="s">
        <v>3</v>
      </c>
      <c r="B207" s="2">
        <v>40360</v>
      </c>
      <c r="C207">
        <v>4418311</v>
      </c>
    </row>
    <row r="208" spans="1:3" x14ac:dyDescent="0.25">
      <c r="A208" t="s">
        <v>3</v>
      </c>
      <c r="B208" s="2">
        <v>40391</v>
      </c>
      <c r="C208">
        <v>4117459</v>
      </c>
    </row>
    <row r="209" spans="1:3" x14ac:dyDescent="0.25">
      <c r="A209" t="s">
        <v>4</v>
      </c>
      <c r="B209" s="2">
        <v>40391</v>
      </c>
      <c r="C209">
        <v>21338</v>
      </c>
    </row>
    <row r="210" spans="1:3" x14ac:dyDescent="0.25">
      <c r="A210" t="s">
        <v>5</v>
      </c>
      <c r="B210" s="2">
        <v>40391</v>
      </c>
      <c r="C210">
        <v>758039</v>
      </c>
    </row>
    <row r="211" spans="1:3" x14ac:dyDescent="0.25">
      <c r="A211" t="s">
        <v>5</v>
      </c>
      <c r="B211" s="2">
        <v>40422</v>
      </c>
      <c r="C211">
        <v>98591</v>
      </c>
    </row>
    <row r="212" spans="1:3" x14ac:dyDescent="0.25">
      <c r="A212" t="s">
        <v>3</v>
      </c>
      <c r="B212" s="2">
        <v>40422</v>
      </c>
      <c r="C212">
        <v>6792992</v>
      </c>
    </row>
    <row r="213" spans="1:3" x14ac:dyDescent="0.25">
      <c r="A213" t="s">
        <v>3</v>
      </c>
      <c r="B213" s="2">
        <v>40452</v>
      </c>
      <c r="C213">
        <v>58786</v>
      </c>
    </row>
    <row r="214" spans="1:3" x14ac:dyDescent="0.25">
      <c r="A214" t="s">
        <v>4</v>
      </c>
      <c r="B214" s="2">
        <v>40452</v>
      </c>
      <c r="C214">
        <v>0</v>
      </c>
    </row>
    <row r="215" spans="1:3" x14ac:dyDescent="0.25">
      <c r="A215" t="s">
        <v>5</v>
      </c>
      <c r="B215" s="2">
        <v>40452</v>
      </c>
      <c r="C215">
        <v>582253</v>
      </c>
    </row>
    <row r="216" spans="1:3" x14ac:dyDescent="0.25">
      <c r="A216" t="s">
        <v>4</v>
      </c>
      <c r="B216" s="2">
        <v>40483</v>
      </c>
      <c r="C216">
        <v>19700</v>
      </c>
    </row>
    <row r="217" spans="1:3" x14ac:dyDescent="0.25">
      <c r="A217" t="s">
        <v>3</v>
      </c>
      <c r="B217" s="2">
        <v>40483</v>
      </c>
      <c r="C217">
        <v>0</v>
      </c>
    </row>
    <row r="218" spans="1:3" x14ac:dyDescent="0.25">
      <c r="A218" t="s">
        <v>5</v>
      </c>
      <c r="B218" s="2">
        <v>40513</v>
      </c>
      <c r="C218">
        <v>1655486</v>
      </c>
    </row>
    <row r="219" spans="1:3" x14ac:dyDescent="0.25">
      <c r="A219" t="s">
        <v>4</v>
      </c>
      <c r="B219" s="2">
        <v>40513</v>
      </c>
      <c r="C219">
        <v>40789</v>
      </c>
    </row>
    <row r="220" spans="1:3" x14ac:dyDescent="0.25">
      <c r="A220" t="s">
        <v>3</v>
      </c>
      <c r="B220" s="2">
        <v>40513</v>
      </c>
      <c r="C220">
        <v>2749590</v>
      </c>
    </row>
    <row r="221" spans="1:3" x14ac:dyDescent="0.25">
      <c r="A221" t="s">
        <v>3</v>
      </c>
      <c r="B221" s="2">
        <v>40544</v>
      </c>
      <c r="C221">
        <v>6512718</v>
      </c>
    </row>
    <row r="222" spans="1:3" x14ac:dyDescent="0.25">
      <c r="A222" t="s">
        <v>5</v>
      </c>
      <c r="B222" s="2">
        <v>40544</v>
      </c>
      <c r="C222">
        <v>68762</v>
      </c>
    </row>
    <row r="223" spans="1:3" x14ac:dyDescent="0.25">
      <c r="A223" t="s">
        <v>3</v>
      </c>
      <c r="B223" s="2">
        <v>40575</v>
      </c>
      <c r="C223">
        <v>7341185</v>
      </c>
    </row>
    <row r="224" spans="1:3" x14ac:dyDescent="0.25">
      <c r="A224" t="s">
        <v>4</v>
      </c>
      <c r="B224" s="2">
        <v>40575</v>
      </c>
      <c r="C224">
        <v>66961</v>
      </c>
    </row>
    <row r="225" spans="1:3" x14ac:dyDescent="0.25">
      <c r="A225" t="s">
        <v>5</v>
      </c>
      <c r="B225" s="2">
        <v>40603</v>
      </c>
      <c r="C225">
        <v>546770</v>
      </c>
    </row>
    <row r="226" spans="1:3" x14ac:dyDescent="0.25">
      <c r="A226" t="s">
        <v>4</v>
      </c>
      <c r="B226" s="2">
        <v>40603</v>
      </c>
      <c r="C226">
        <v>0</v>
      </c>
    </row>
    <row r="227" spans="1:3" x14ac:dyDescent="0.25">
      <c r="A227" t="s">
        <v>3</v>
      </c>
      <c r="B227" s="2">
        <v>40603</v>
      </c>
      <c r="C227">
        <v>4396139</v>
      </c>
    </row>
    <row r="228" spans="1:3" x14ac:dyDescent="0.25">
      <c r="A228" t="s">
        <v>3</v>
      </c>
      <c r="B228" s="2">
        <v>40634</v>
      </c>
      <c r="C228">
        <v>8091318</v>
      </c>
    </row>
    <row r="229" spans="1:3" x14ac:dyDescent="0.25">
      <c r="A229" t="s">
        <v>3</v>
      </c>
      <c r="B229" s="2">
        <v>40664</v>
      </c>
      <c r="C229">
        <v>16223271</v>
      </c>
    </row>
    <row r="230" spans="1:3" x14ac:dyDescent="0.25">
      <c r="A230" t="s">
        <v>5</v>
      </c>
      <c r="B230" s="2">
        <v>40664</v>
      </c>
      <c r="C230">
        <v>495550</v>
      </c>
    </row>
    <row r="231" spans="1:3" x14ac:dyDescent="0.25">
      <c r="A231" t="s">
        <v>5</v>
      </c>
      <c r="B231" s="2">
        <v>40695</v>
      </c>
      <c r="C231">
        <v>60500</v>
      </c>
    </row>
    <row r="232" spans="1:3" x14ac:dyDescent="0.25">
      <c r="A232" t="s">
        <v>3</v>
      </c>
      <c r="B232" s="2">
        <v>40695</v>
      </c>
      <c r="C232">
        <v>11515264</v>
      </c>
    </row>
    <row r="233" spans="1:3" x14ac:dyDescent="0.25">
      <c r="A233" t="s">
        <v>5</v>
      </c>
      <c r="B233" s="2">
        <v>40725</v>
      </c>
      <c r="C233">
        <v>208547</v>
      </c>
    </row>
    <row r="234" spans="1:3" x14ac:dyDescent="0.25">
      <c r="A234" t="s">
        <v>3</v>
      </c>
      <c r="B234" s="2">
        <v>40725</v>
      </c>
      <c r="C234">
        <v>7388847</v>
      </c>
    </row>
    <row r="235" spans="1:3" x14ac:dyDescent="0.25">
      <c r="A235" t="s">
        <v>3</v>
      </c>
      <c r="B235" s="2">
        <v>40756</v>
      </c>
      <c r="C235">
        <v>297333</v>
      </c>
    </row>
    <row r="236" spans="1:3" x14ac:dyDescent="0.25">
      <c r="A236" t="s">
        <v>5</v>
      </c>
      <c r="B236" s="2">
        <v>40756</v>
      </c>
      <c r="C236">
        <v>701574</v>
      </c>
    </row>
    <row r="237" spans="1:3" x14ac:dyDescent="0.25">
      <c r="A237" t="s">
        <v>4</v>
      </c>
      <c r="B237" s="2">
        <v>40787</v>
      </c>
      <c r="C237">
        <v>0</v>
      </c>
    </row>
    <row r="238" spans="1:3" x14ac:dyDescent="0.25">
      <c r="A238" t="s">
        <v>5</v>
      </c>
      <c r="B238" s="2">
        <v>40787</v>
      </c>
      <c r="C238">
        <v>36104</v>
      </c>
    </row>
    <row r="239" spans="1:3" x14ac:dyDescent="0.25">
      <c r="A239" t="s">
        <v>3</v>
      </c>
      <c r="B239" s="2">
        <v>40787</v>
      </c>
      <c r="C239">
        <v>196465</v>
      </c>
    </row>
    <row r="240" spans="1:3" x14ac:dyDescent="0.25">
      <c r="A240" t="s">
        <v>4</v>
      </c>
      <c r="B240" s="2">
        <v>40817</v>
      </c>
      <c r="C240">
        <v>-3934</v>
      </c>
    </row>
    <row r="241" spans="1:3" x14ac:dyDescent="0.25">
      <c r="A241" t="s">
        <v>5</v>
      </c>
      <c r="B241" s="2">
        <v>40817</v>
      </c>
      <c r="C241">
        <v>462831</v>
      </c>
    </row>
    <row r="242" spans="1:3" x14ac:dyDescent="0.25">
      <c r="A242" t="s">
        <v>3</v>
      </c>
      <c r="B242" s="2">
        <v>40848</v>
      </c>
      <c r="C242">
        <v>4448008</v>
      </c>
    </row>
    <row r="243" spans="1:3" x14ac:dyDescent="0.25">
      <c r="A243" t="s">
        <v>5</v>
      </c>
      <c r="B243" s="2">
        <v>40848</v>
      </c>
      <c r="C243">
        <v>559062</v>
      </c>
    </row>
    <row r="244" spans="1:3" x14ac:dyDescent="0.25">
      <c r="A244" t="s">
        <v>3</v>
      </c>
      <c r="B244" s="2">
        <v>40878</v>
      </c>
      <c r="C244">
        <v>3727256</v>
      </c>
    </row>
    <row r="245" spans="1:3" x14ac:dyDescent="0.25">
      <c r="A245" t="s">
        <v>5</v>
      </c>
      <c r="B245" s="2">
        <v>40878</v>
      </c>
      <c r="C245">
        <v>2366572</v>
      </c>
    </row>
    <row r="246" spans="1:3" x14ac:dyDescent="0.25">
      <c r="A246" t="s">
        <v>4</v>
      </c>
      <c r="B246" s="2">
        <v>40909</v>
      </c>
      <c r="C246">
        <v>4367</v>
      </c>
    </row>
    <row r="247" spans="1:3" x14ac:dyDescent="0.25">
      <c r="A247" t="s">
        <v>3</v>
      </c>
      <c r="B247" s="2">
        <v>40909</v>
      </c>
      <c r="C247">
        <v>2748508</v>
      </c>
    </row>
    <row r="248" spans="1:3" x14ac:dyDescent="0.25">
      <c r="A248" t="s">
        <v>5</v>
      </c>
      <c r="B248" s="2">
        <v>40909</v>
      </c>
      <c r="C248">
        <v>441788</v>
      </c>
    </row>
    <row r="249" spans="1:3" x14ac:dyDescent="0.25">
      <c r="A249" t="s">
        <v>5</v>
      </c>
      <c r="B249" s="2">
        <v>40940</v>
      </c>
      <c r="C249">
        <v>1131306</v>
      </c>
    </row>
    <row r="250" spans="1:3" x14ac:dyDescent="0.25">
      <c r="A250" t="s">
        <v>3</v>
      </c>
      <c r="B250" s="2">
        <v>40940</v>
      </c>
      <c r="C250">
        <v>2051621</v>
      </c>
    </row>
    <row r="251" spans="1:3" x14ac:dyDescent="0.25">
      <c r="A251" t="s">
        <v>5</v>
      </c>
      <c r="B251" s="2">
        <v>40969</v>
      </c>
      <c r="C251">
        <v>293207</v>
      </c>
    </row>
    <row r="252" spans="1:3" x14ac:dyDescent="0.25">
      <c r="A252" t="s">
        <v>3</v>
      </c>
      <c r="B252" s="2">
        <v>40969</v>
      </c>
      <c r="C252">
        <v>26800</v>
      </c>
    </row>
    <row r="253" spans="1:3" x14ac:dyDescent="0.25">
      <c r="A253" t="s">
        <v>5</v>
      </c>
      <c r="B253" s="2">
        <v>41000</v>
      </c>
      <c r="C253">
        <v>721904</v>
      </c>
    </row>
    <row r="254" spans="1:3" x14ac:dyDescent="0.25">
      <c r="A254" t="s">
        <v>3</v>
      </c>
      <c r="B254" s="2">
        <v>41000</v>
      </c>
      <c r="C254">
        <v>3111369</v>
      </c>
    </row>
    <row r="255" spans="1:3" x14ac:dyDescent="0.25">
      <c r="A255" t="s">
        <v>3</v>
      </c>
      <c r="B255" s="2">
        <v>41030</v>
      </c>
      <c r="C255">
        <v>14100</v>
      </c>
    </row>
    <row r="256" spans="1:3" x14ac:dyDescent="0.25">
      <c r="A256" t="s">
        <v>5</v>
      </c>
      <c r="B256" s="2">
        <v>41030</v>
      </c>
      <c r="C256">
        <v>77430</v>
      </c>
    </row>
    <row r="257" spans="1:3" x14ac:dyDescent="0.25">
      <c r="A257" t="s">
        <v>3</v>
      </c>
      <c r="B257" s="2">
        <v>41061</v>
      </c>
      <c r="C257">
        <v>1054294</v>
      </c>
    </row>
    <row r="258" spans="1:3" x14ac:dyDescent="0.25">
      <c r="A258" t="s">
        <v>5</v>
      </c>
      <c r="B258" s="2">
        <v>41061</v>
      </c>
      <c r="C258">
        <v>229206</v>
      </c>
    </row>
    <row r="259" spans="1:3" x14ac:dyDescent="0.25">
      <c r="A259" t="s">
        <v>4</v>
      </c>
      <c r="B259" s="2">
        <v>41061</v>
      </c>
      <c r="C259">
        <v>0</v>
      </c>
    </row>
    <row r="260" spans="1:3" x14ac:dyDescent="0.25">
      <c r="A260" t="s">
        <v>5</v>
      </c>
      <c r="B260" s="2">
        <v>41091</v>
      </c>
      <c r="C260">
        <v>1074406</v>
      </c>
    </row>
    <row r="261" spans="1:3" x14ac:dyDescent="0.25">
      <c r="A261" t="s">
        <v>3</v>
      </c>
      <c r="B261" s="2">
        <v>41091</v>
      </c>
      <c r="C261">
        <v>1080221</v>
      </c>
    </row>
    <row r="262" spans="1:3" x14ac:dyDescent="0.25">
      <c r="A262" t="s">
        <v>4</v>
      </c>
      <c r="B262" s="2">
        <v>41122</v>
      </c>
      <c r="C262">
        <v>0</v>
      </c>
    </row>
    <row r="263" spans="1:3" x14ac:dyDescent="0.25">
      <c r="A263" t="s">
        <v>5</v>
      </c>
      <c r="B263" s="2">
        <v>41122</v>
      </c>
      <c r="C263">
        <v>214272</v>
      </c>
    </row>
    <row r="264" spans="1:3" x14ac:dyDescent="0.25">
      <c r="A264" t="s">
        <v>3</v>
      </c>
      <c r="B264" s="2">
        <v>41122</v>
      </c>
      <c r="C264">
        <v>19994</v>
      </c>
    </row>
    <row r="265" spans="1:3" x14ac:dyDescent="0.25">
      <c r="A265" t="s">
        <v>4</v>
      </c>
      <c r="B265" s="2">
        <v>41153</v>
      </c>
      <c r="C265">
        <v>0</v>
      </c>
    </row>
    <row r="266" spans="1:3" x14ac:dyDescent="0.25">
      <c r="A266" t="s">
        <v>5</v>
      </c>
      <c r="B266" s="2">
        <v>41153</v>
      </c>
      <c r="C266">
        <v>1193193</v>
      </c>
    </row>
    <row r="267" spans="1:3" x14ac:dyDescent="0.25">
      <c r="A267" t="s">
        <v>5</v>
      </c>
      <c r="B267" s="2">
        <v>41183</v>
      </c>
      <c r="C267">
        <v>588196</v>
      </c>
    </row>
    <row r="268" spans="1:3" x14ac:dyDescent="0.25">
      <c r="A268" t="s">
        <v>3</v>
      </c>
      <c r="B268" s="2">
        <v>41183</v>
      </c>
      <c r="C268">
        <v>12408132</v>
      </c>
    </row>
    <row r="269" spans="1:3" x14ac:dyDescent="0.25">
      <c r="A269" t="s">
        <v>3</v>
      </c>
      <c r="B269" s="2">
        <v>41214</v>
      </c>
      <c r="C269">
        <v>10913295</v>
      </c>
    </row>
    <row r="270" spans="1:3" x14ac:dyDescent="0.25">
      <c r="A270" t="s">
        <v>5</v>
      </c>
      <c r="B270" s="2">
        <v>41214</v>
      </c>
      <c r="C270">
        <v>1590276</v>
      </c>
    </row>
    <row r="271" spans="1:3" x14ac:dyDescent="0.25">
      <c r="A271" t="s">
        <v>5</v>
      </c>
      <c r="B271" s="2">
        <v>41244</v>
      </c>
      <c r="C271">
        <v>3212893</v>
      </c>
    </row>
    <row r="272" spans="1:3" x14ac:dyDescent="0.25">
      <c r="A272" t="s">
        <v>4</v>
      </c>
      <c r="B272" s="2">
        <v>41244</v>
      </c>
      <c r="C272">
        <v>99440</v>
      </c>
    </row>
    <row r="273" spans="1:3" x14ac:dyDescent="0.25">
      <c r="A273" t="s">
        <v>3</v>
      </c>
      <c r="B273" s="2">
        <v>41244</v>
      </c>
      <c r="C273">
        <v>12525740</v>
      </c>
    </row>
    <row r="274" spans="1:3" x14ac:dyDescent="0.25">
      <c r="A274" t="s">
        <v>5</v>
      </c>
      <c r="B274" s="2">
        <v>41275</v>
      </c>
      <c r="C274">
        <v>14483</v>
      </c>
    </row>
    <row r="275" spans="1:3" x14ac:dyDescent="0.25">
      <c r="A275" t="s">
        <v>3</v>
      </c>
      <c r="B275" s="2">
        <v>41275</v>
      </c>
      <c r="C275">
        <v>34344</v>
      </c>
    </row>
    <row r="276" spans="1:3" x14ac:dyDescent="0.25">
      <c r="A276" t="s">
        <v>5</v>
      </c>
      <c r="B276" s="2">
        <v>41365</v>
      </c>
      <c r="C276">
        <v>275283</v>
      </c>
    </row>
    <row r="277" spans="1:3" x14ac:dyDescent="0.25">
      <c r="A277" t="s">
        <v>3</v>
      </c>
      <c r="B277" s="2">
        <v>41365</v>
      </c>
      <c r="C277">
        <v>5036245</v>
      </c>
    </row>
    <row r="278" spans="1:3" x14ac:dyDescent="0.25">
      <c r="A278" t="s">
        <v>3</v>
      </c>
      <c r="B278" s="2">
        <v>41395</v>
      </c>
      <c r="C278">
        <v>4888044</v>
      </c>
    </row>
    <row r="279" spans="1:3" x14ac:dyDescent="0.25">
      <c r="A279" t="s">
        <v>5</v>
      </c>
      <c r="B279" s="2">
        <v>41395</v>
      </c>
      <c r="C279">
        <v>157638</v>
      </c>
    </row>
    <row r="280" spans="1:3" x14ac:dyDescent="0.25">
      <c r="A280" t="s">
        <v>5</v>
      </c>
      <c r="B280" s="2">
        <v>41426</v>
      </c>
      <c r="C280">
        <v>0</v>
      </c>
    </row>
    <row r="281" spans="1:3" x14ac:dyDescent="0.25">
      <c r="A281" t="s">
        <v>3</v>
      </c>
      <c r="B281" s="2">
        <v>41426</v>
      </c>
      <c r="C281">
        <v>4927138</v>
      </c>
    </row>
    <row r="282" spans="1:3" x14ac:dyDescent="0.25">
      <c r="A282" t="s">
        <v>3</v>
      </c>
      <c r="B282" s="2">
        <v>41456</v>
      </c>
      <c r="C282">
        <v>14604</v>
      </c>
    </row>
    <row r="283" spans="1:3" x14ac:dyDescent="0.25">
      <c r="A283" t="s">
        <v>4</v>
      </c>
      <c r="B283" s="2">
        <v>41487</v>
      </c>
      <c r="C283">
        <v>-245</v>
      </c>
    </row>
    <row r="284" spans="1:3" x14ac:dyDescent="0.25">
      <c r="A284" t="s">
        <v>5</v>
      </c>
      <c r="B284" s="2">
        <v>41487</v>
      </c>
      <c r="C284">
        <v>24867</v>
      </c>
    </row>
    <row r="285" spans="1:3" x14ac:dyDescent="0.25">
      <c r="A285" t="s">
        <v>3</v>
      </c>
      <c r="B285" s="2">
        <v>41487</v>
      </c>
      <c r="C285">
        <v>1262686</v>
      </c>
    </row>
    <row r="286" spans="1:3" x14ac:dyDescent="0.25">
      <c r="A286" t="s">
        <v>5</v>
      </c>
      <c r="B286" s="2">
        <v>41518</v>
      </c>
      <c r="C286">
        <v>24548</v>
      </c>
    </row>
    <row r="287" spans="1:3" x14ac:dyDescent="0.25">
      <c r="A287" t="s">
        <v>5</v>
      </c>
      <c r="B287" s="2">
        <v>41548</v>
      </c>
      <c r="C287">
        <v>764611</v>
      </c>
    </row>
    <row r="288" spans="1:3" x14ac:dyDescent="0.25">
      <c r="A288" t="s">
        <v>3</v>
      </c>
      <c r="B288" s="2">
        <v>41579</v>
      </c>
      <c r="C288">
        <v>170578</v>
      </c>
    </row>
    <row r="289" spans="1:3" x14ac:dyDescent="0.25">
      <c r="A289" t="s">
        <v>5</v>
      </c>
      <c r="B289" s="2">
        <v>41579</v>
      </c>
      <c r="C289">
        <v>469104</v>
      </c>
    </row>
    <row r="290" spans="1:3" x14ac:dyDescent="0.25">
      <c r="A290" t="s">
        <v>5</v>
      </c>
      <c r="B290" s="2">
        <v>41609</v>
      </c>
      <c r="C290">
        <v>1343875</v>
      </c>
    </row>
    <row r="291" spans="1:3" x14ac:dyDescent="0.25">
      <c r="A291" t="s">
        <v>3</v>
      </c>
      <c r="B291" s="2">
        <v>41609</v>
      </c>
      <c r="C291">
        <v>18321</v>
      </c>
    </row>
    <row r="292" spans="1:3" x14ac:dyDescent="0.25">
      <c r="A292" t="s">
        <v>3</v>
      </c>
      <c r="B292" s="2">
        <v>41640</v>
      </c>
      <c r="C292">
        <v>55377</v>
      </c>
    </row>
    <row r="293" spans="1:3" x14ac:dyDescent="0.25">
      <c r="A293" t="s">
        <v>5</v>
      </c>
      <c r="B293" s="2">
        <v>41640</v>
      </c>
      <c r="C293">
        <v>89026</v>
      </c>
    </row>
    <row r="294" spans="1:3" x14ac:dyDescent="0.25">
      <c r="A294" t="s">
        <v>5</v>
      </c>
      <c r="B294" s="2">
        <v>41671</v>
      </c>
      <c r="C294">
        <v>619543</v>
      </c>
    </row>
    <row r="295" spans="1:3" x14ac:dyDescent="0.25">
      <c r="A295" t="s">
        <v>3</v>
      </c>
      <c r="B295" s="2">
        <v>41671</v>
      </c>
      <c r="C295">
        <v>64853</v>
      </c>
    </row>
    <row r="296" spans="1:3" x14ac:dyDescent="0.25">
      <c r="A296" t="s">
        <v>3</v>
      </c>
      <c r="B296" s="2">
        <v>41699</v>
      </c>
      <c r="C296">
        <v>37264</v>
      </c>
    </row>
    <row r="297" spans="1:3" x14ac:dyDescent="0.25">
      <c r="A297" t="s">
        <v>5</v>
      </c>
      <c r="B297" s="2">
        <v>41699</v>
      </c>
      <c r="C297">
        <v>516975</v>
      </c>
    </row>
    <row r="298" spans="1:3" x14ac:dyDescent="0.25">
      <c r="A298" t="s">
        <v>3</v>
      </c>
      <c r="B298" s="2">
        <v>41730</v>
      </c>
      <c r="C298">
        <v>4795457</v>
      </c>
    </row>
    <row r="299" spans="1:3" x14ac:dyDescent="0.25">
      <c r="A299" t="s">
        <v>5</v>
      </c>
      <c r="B299" s="2">
        <v>41730</v>
      </c>
      <c r="C299">
        <v>144993</v>
      </c>
    </row>
    <row r="300" spans="1:3" x14ac:dyDescent="0.25">
      <c r="A300" t="s">
        <v>4</v>
      </c>
      <c r="B300" s="2">
        <v>41760</v>
      </c>
      <c r="C300">
        <v>257216</v>
      </c>
    </row>
    <row r="301" spans="1:3" x14ac:dyDescent="0.25">
      <c r="A301" t="s">
        <v>3</v>
      </c>
      <c r="B301" s="2">
        <v>41760</v>
      </c>
      <c r="C301">
        <v>4512277</v>
      </c>
    </row>
    <row r="302" spans="1:3" x14ac:dyDescent="0.25">
      <c r="A302" t="s">
        <v>5</v>
      </c>
      <c r="B302" s="2">
        <v>41760</v>
      </c>
      <c r="C302">
        <v>8173</v>
      </c>
    </row>
    <row r="303" spans="1:3" x14ac:dyDescent="0.25">
      <c r="A303" t="s">
        <v>3</v>
      </c>
      <c r="B303" s="2">
        <v>41791</v>
      </c>
      <c r="C303">
        <v>6975811</v>
      </c>
    </row>
    <row r="304" spans="1:3" x14ac:dyDescent="0.25">
      <c r="A304" t="s">
        <v>5</v>
      </c>
      <c r="B304" s="2">
        <v>41791</v>
      </c>
      <c r="C304">
        <v>36343</v>
      </c>
    </row>
    <row r="305" spans="1:3" x14ac:dyDescent="0.25">
      <c r="A305" t="s">
        <v>5</v>
      </c>
      <c r="B305" s="2">
        <v>41821</v>
      </c>
      <c r="C305">
        <v>342796</v>
      </c>
    </row>
    <row r="306" spans="1:3" x14ac:dyDescent="0.25">
      <c r="A306" t="s">
        <v>3</v>
      </c>
      <c r="B306" s="2">
        <v>41821</v>
      </c>
      <c r="C306">
        <v>41</v>
      </c>
    </row>
    <row r="307" spans="1:3" x14ac:dyDescent="0.25">
      <c r="A307" t="s">
        <v>3</v>
      </c>
      <c r="B307" s="2">
        <v>41852</v>
      </c>
      <c r="C307">
        <v>6797867</v>
      </c>
    </row>
    <row r="308" spans="1:3" x14ac:dyDescent="0.25">
      <c r="A308" t="s">
        <v>5</v>
      </c>
      <c r="B308" s="2">
        <v>41852</v>
      </c>
      <c r="C308">
        <v>1691908</v>
      </c>
    </row>
    <row r="309" spans="1:3" x14ac:dyDescent="0.25">
      <c r="A309" t="s">
        <v>4</v>
      </c>
      <c r="B309" s="2">
        <v>41852</v>
      </c>
      <c r="C309">
        <v>0</v>
      </c>
    </row>
    <row r="310" spans="1:3" x14ac:dyDescent="0.25">
      <c r="A310" t="s">
        <v>3</v>
      </c>
      <c r="B310" s="2">
        <v>41913</v>
      </c>
      <c r="C310">
        <v>1787502</v>
      </c>
    </row>
    <row r="311" spans="1:3" x14ac:dyDescent="0.25">
      <c r="A311" t="s">
        <v>5</v>
      </c>
      <c r="B311" s="2">
        <v>41913</v>
      </c>
      <c r="C311">
        <v>18074</v>
      </c>
    </row>
    <row r="312" spans="1:3" x14ac:dyDescent="0.25">
      <c r="A312" t="s">
        <v>5</v>
      </c>
      <c r="B312" s="2">
        <v>41944</v>
      </c>
      <c r="C312">
        <v>1100373</v>
      </c>
    </row>
    <row r="313" spans="1:3" x14ac:dyDescent="0.25">
      <c r="A313" t="s">
        <v>4</v>
      </c>
      <c r="B313" s="2">
        <v>41944</v>
      </c>
      <c r="C313">
        <v>-1040</v>
      </c>
    </row>
    <row r="314" spans="1:3" x14ac:dyDescent="0.25">
      <c r="A314" t="s">
        <v>3</v>
      </c>
      <c r="B314" s="2">
        <v>41944</v>
      </c>
      <c r="C314">
        <v>88776</v>
      </c>
    </row>
    <row r="315" spans="1:3" x14ac:dyDescent="0.25">
      <c r="A315" t="s">
        <v>5</v>
      </c>
      <c r="B315" s="2">
        <v>41974</v>
      </c>
      <c r="C315">
        <v>2352719</v>
      </c>
    </row>
    <row r="316" spans="1:3" x14ac:dyDescent="0.25">
      <c r="A316" t="s">
        <v>3</v>
      </c>
      <c r="B316" s="2">
        <v>41974</v>
      </c>
      <c r="C316">
        <v>15640587</v>
      </c>
    </row>
    <row r="317" spans="1:3" x14ac:dyDescent="0.25">
      <c r="A317" t="s">
        <v>5</v>
      </c>
      <c r="B317" s="2">
        <v>42005</v>
      </c>
      <c r="C317">
        <v>418578</v>
      </c>
    </row>
    <row r="318" spans="1:3" x14ac:dyDescent="0.25">
      <c r="A318" t="s">
        <v>5</v>
      </c>
      <c r="B318" s="2">
        <v>42036</v>
      </c>
      <c r="C318">
        <v>208</v>
      </c>
    </row>
    <row r="319" spans="1:3" x14ac:dyDescent="0.25">
      <c r="A319" t="s">
        <v>4</v>
      </c>
      <c r="B319" s="2">
        <v>42064</v>
      </c>
      <c r="C319">
        <v>52564</v>
      </c>
    </row>
    <row r="320" spans="1:3" x14ac:dyDescent="0.25">
      <c r="A320" t="s">
        <v>3</v>
      </c>
      <c r="B320" s="2">
        <v>42064</v>
      </c>
      <c r="C320">
        <v>18005</v>
      </c>
    </row>
    <row r="321" spans="1:3" x14ac:dyDescent="0.25">
      <c r="A321" t="s">
        <v>5</v>
      </c>
      <c r="B321" s="2">
        <v>42064</v>
      </c>
      <c r="C321">
        <v>2022</v>
      </c>
    </row>
    <row r="322" spans="1:3" x14ac:dyDescent="0.25">
      <c r="A322" t="s">
        <v>5</v>
      </c>
      <c r="B322" s="2">
        <v>42095</v>
      </c>
      <c r="C322">
        <v>2387899</v>
      </c>
    </row>
    <row r="323" spans="1:3" x14ac:dyDescent="0.25">
      <c r="A323" t="s">
        <v>3</v>
      </c>
      <c r="B323" s="2">
        <v>42095</v>
      </c>
      <c r="C323">
        <v>242065</v>
      </c>
    </row>
    <row r="324" spans="1:3" x14ac:dyDescent="0.25">
      <c r="A324" t="s">
        <v>5</v>
      </c>
      <c r="B324" s="2">
        <v>42125</v>
      </c>
      <c r="C324">
        <v>512857</v>
      </c>
    </row>
    <row r="325" spans="1:3" x14ac:dyDescent="0.25">
      <c r="A325" t="s">
        <v>3</v>
      </c>
      <c r="B325" s="2">
        <v>42125</v>
      </c>
      <c r="C325">
        <v>5485304</v>
      </c>
    </row>
    <row r="326" spans="1:3" x14ac:dyDescent="0.25">
      <c r="A326" t="s">
        <v>5</v>
      </c>
      <c r="B326" s="2">
        <v>42156</v>
      </c>
      <c r="C326">
        <v>1098351</v>
      </c>
    </row>
    <row r="327" spans="1:3" x14ac:dyDescent="0.25">
      <c r="A327" t="s">
        <v>3</v>
      </c>
      <c r="B327" s="2">
        <v>42156</v>
      </c>
      <c r="C327">
        <v>3802227</v>
      </c>
    </row>
    <row r="328" spans="1:3" x14ac:dyDescent="0.25">
      <c r="A328" t="s">
        <v>5</v>
      </c>
      <c r="B328" s="2">
        <v>42186</v>
      </c>
      <c r="C328">
        <v>347420</v>
      </c>
    </row>
    <row r="329" spans="1:3" x14ac:dyDescent="0.25">
      <c r="A329" t="s">
        <v>4</v>
      </c>
      <c r="B329" s="2">
        <v>42186</v>
      </c>
      <c r="C329">
        <v>363712</v>
      </c>
    </row>
    <row r="330" spans="1:3" x14ac:dyDescent="0.25">
      <c r="A330" t="s">
        <v>3</v>
      </c>
      <c r="B330" s="2">
        <v>42186</v>
      </c>
      <c r="C330">
        <v>3020</v>
      </c>
    </row>
    <row r="331" spans="1:3" x14ac:dyDescent="0.25">
      <c r="A331" t="s">
        <v>3</v>
      </c>
      <c r="B331" s="2">
        <v>42217</v>
      </c>
      <c r="C331">
        <v>2613675</v>
      </c>
    </row>
    <row r="332" spans="1:3" x14ac:dyDescent="0.25">
      <c r="A332" t="s">
        <v>5</v>
      </c>
      <c r="B332" s="2">
        <v>42217</v>
      </c>
      <c r="C332">
        <v>1701850</v>
      </c>
    </row>
    <row r="333" spans="1:3" x14ac:dyDescent="0.25">
      <c r="A333" t="s">
        <v>4</v>
      </c>
      <c r="B333" s="2">
        <v>42217</v>
      </c>
      <c r="C333">
        <v>0</v>
      </c>
    </row>
    <row r="334" spans="1:3" x14ac:dyDescent="0.25">
      <c r="A334" t="s">
        <v>4</v>
      </c>
      <c r="B334" s="2">
        <v>42248</v>
      </c>
      <c r="C334">
        <v>0</v>
      </c>
    </row>
    <row r="335" spans="1:3" x14ac:dyDescent="0.25">
      <c r="A335" t="s">
        <v>5</v>
      </c>
      <c r="B335" s="2">
        <v>42248</v>
      </c>
      <c r="C335">
        <v>1707</v>
      </c>
    </row>
    <row r="336" spans="1:3" x14ac:dyDescent="0.25">
      <c r="A336" t="s">
        <v>3</v>
      </c>
      <c r="B336" s="2">
        <v>42248</v>
      </c>
      <c r="C336">
        <v>2250248</v>
      </c>
    </row>
    <row r="337" spans="1:3" x14ac:dyDescent="0.25">
      <c r="A337" t="s">
        <v>3</v>
      </c>
      <c r="B337" s="2">
        <v>42278</v>
      </c>
      <c r="C337">
        <v>68915</v>
      </c>
    </row>
    <row r="338" spans="1:3" x14ac:dyDescent="0.25">
      <c r="A338" t="s">
        <v>5</v>
      </c>
      <c r="B338" s="2">
        <v>42278</v>
      </c>
      <c r="C338">
        <v>831897</v>
      </c>
    </row>
    <row r="339" spans="1:3" x14ac:dyDescent="0.25">
      <c r="A339" t="s">
        <v>4</v>
      </c>
      <c r="B339" s="2">
        <v>42278</v>
      </c>
      <c r="C339">
        <v>-6046</v>
      </c>
    </row>
    <row r="340" spans="1:3" x14ac:dyDescent="0.25">
      <c r="A340" t="s">
        <v>5</v>
      </c>
      <c r="B340" s="2">
        <v>42309</v>
      </c>
      <c r="C340">
        <v>462731</v>
      </c>
    </row>
    <row r="341" spans="1:3" x14ac:dyDescent="0.25">
      <c r="A341" t="s">
        <v>4</v>
      </c>
      <c r="B341" s="2">
        <v>42309</v>
      </c>
      <c r="C341">
        <v>-263</v>
      </c>
    </row>
    <row r="342" spans="1:3" x14ac:dyDescent="0.25">
      <c r="A342" t="s">
        <v>3</v>
      </c>
      <c r="B342" s="2">
        <v>42309</v>
      </c>
      <c r="C342">
        <v>3054104</v>
      </c>
    </row>
    <row r="343" spans="1:3" x14ac:dyDescent="0.25">
      <c r="A343" t="s">
        <v>4</v>
      </c>
      <c r="B343" s="2">
        <v>42339</v>
      </c>
      <c r="C343">
        <v>-5765</v>
      </c>
    </row>
    <row r="344" spans="1:3" x14ac:dyDescent="0.25">
      <c r="A344" t="s">
        <v>5</v>
      </c>
      <c r="B344" s="2">
        <v>42339</v>
      </c>
      <c r="C344">
        <v>4004843</v>
      </c>
    </row>
    <row r="345" spans="1:3" x14ac:dyDescent="0.25">
      <c r="A345" t="s">
        <v>3</v>
      </c>
      <c r="B345" s="2">
        <v>42339</v>
      </c>
      <c r="C345">
        <v>149658</v>
      </c>
    </row>
    <row r="346" spans="1:3" x14ac:dyDescent="0.25">
      <c r="A346" t="s">
        <v>5</v>
      </c>
      <c r="B346" s="2">
        <v>42370</v>
      </c>
      <c r="C346">
        <v>282112</v>
      </c>
    </row>
    <row r="347" spans="1:3" x14ac:dyDescent="0.25">
      <c r="A347" t="s">
        <v>3</v>
      </c>
      <c r="B347" s="2">
        <v>42370</v>
      </c>
      <c r="C347">
        <v>1451650</v>
      </c>
    </row>
    <row r="348" spans="1:3" x14ac:dyDescent="0.25">
      <c r="A348" t="s">
        <v>5</v>
      </c>
      <c r="B348" s="2">
        <v>42401</v>
      </c>
      <c r="C348">
        <v>18889</v>
      </c>
    </row>
    <row r="349" spans="1:3" x14ac:dyDescent="0.25">
      <c r="A349" t="s">
        <v>4</v>
      </c>
      <c r="B349" s="2">
        <v>42401</v>
      </c>
      <c r="C349">
        <v>0</v>
      </c>
    </row>
    <row r="350" spans="1:3" x14ac:dyDescent="0.25">
      <c r="A350" t="s">
        <v>3</v>
      </c>
      <c r="B350" s="2">
        <v>42401</v>
      </c>
      <c r="C350">
        <v>4753582</v>
      </c>
    </row>
    <row r="351" spans="1:3" x14ac:dyDescent="0.25">
      <c r="A351" t="s">
        <v>5</v>
      </c>
      <c r="B351" s="2">
        <v>42430</v>
      </c>
      <c r="C351">
        <v>624470</v>
      </c>
    </row>
    <row r="352" spans="1:3" x14ac:dyDescent="0.25">
      <c r="A352" t="s">
        <v>3</v>
      </c>
      <c r="B352" s="2">
        <v>42461</v>
      </c>
      <c r="C352">
        <v>8978283</v>
      </c>
    </row>
    <row r="353" spans="1:3" x14ac:dyDescent="0.25">
      <c r="A353" t="s">
        <v>5</v>
      </c>
      <c r="B353" s="2">
        <v>42461</v>
      </c>
      <c r="C353">
        <v>12434</v>
      </c>
    </row>
    <row r="354" spans="1:3" x14ac:dyDescent="0.25">
      <c r="A354" t="s">
        <v>5</v>
      </c>
      <c r="B354" s="2">
        <v>42491</v>
      </c>
      <c r="C354">
        <v>588298</v>
      </c>
    </row>
    <row r="355" spans="1:3" x14ac:dyDescent="0.25">
      <c r="A355" t="s">
        <v>3</v>
      </c>
      <c r="B355" s="2">
        <v>42491</v>
      </c>
      <c r="C355">
        <v>1294801</v>
      </c>
    </row>
    <row r="356" spans="1:3" x14ac:dyDescent="0.25">
      <c r="A356" t="s">
        <v>5</v>
      </c>
      <c r="B356" s="2">
        <v>42522</v>
      </c>
      <c r="C356">
        <v>1127001</v>
      </c>
    </row>
    <row r="357" spans="1:3" x14ac:dyDescent="0.25">
      <c r="A357" t="s">
        <v>3</v>
      </c>
      <c r="B357" s="2">
        <v>42522</v>
      </c>
      <c r="C357">
        <v>2237436</v>
      </c>
    </row>
    <row r="358" spans="1:3" x14ac:dyDescent="0.25">
      <c r="A358" t="s">
        <v>4</v>
      </c>
      <c r="B358" s="2">
        <v>42522</v>
      </c>
      <c r="C358">
        <v>12584277</v>
      </c>
    </row>
    <row r="359" spans="1:3" x14ac:dyDescent="0.25">
      <c r="A359" t="s">
        <v>5</v>
      </c>
      <c r="B359" s="2">
        <v>42552</v>
      </c>
      <c r="C359">
        <v>693816</v>
      </c>
    </row>
    <row r="360" spans="1:3" x14ac:dyDescent="0.25">
      <c r="A360" t="s">
        <v>3</v>
      </c>
      <c r="B360" s="2">
        <v>42552</v>
      </c>
      <c r="C360">
        <v>8494400</v>
      </c>
    </row>
    <row r="361" spans="1:3" x14ac:dyDescent="0.25">
      <c r="A361" t="s">
        <v>3</v>
      </c>
      <c r="B361" s="2">
        <v>42583</v>
      </c>
      <c r="C361">
        <v>0</v>
      </c>
    </row>
    <row r="362" spans="1:3" x14ac:dyDescent="0.25">
      <c r="A362" t="s">
        <v>4</v>
      </c>
      <c r="B362" s="2">
        <v>42583</v>
      </c>
      <c r="C362">
        <v>-45237</v>
      </c>
    </row>
    <row r="363" spans="1:3" x14ac:dyDescent="0.25">
      <c r="A363" t="s">
        <v>5</v>
      </c>
      <c r="B363" s="2">
        <v>42583</v>
      </c>
      <c r="C363">
        <v>709111</v>
      </c>
    </row>
    <row r="364" spans="1:3" x14ac:dyDescent="0.25">
      <c r="A364" t="s">
        <v>5</v>
      </c>
      <c r="B364" s="2">
        <v>42614</v>
      </c>
      <c r="C364">
        <v>543700</v>
      </c>
    </row>
    <row r="365" spans="1:3" x14ac:dyDescent="0.25">
      <c r="A365" t="s">
        <v>3</v>
      </c>
      <c r="B365" s="2">
        <v>42614</v>
      </c>
      <c r="C365">
        <v>619977</v>
      </c>
    </row>
    <row r="366" spans="1:3" x14ac:dyDescent="0.25">
      <c r="A366" t="s">
        <v>4</v>
      </c>
      <c r="B366" s="2">
        <v>42644</v>
      </c>
      <c r="C366">
        <v>-1883</v>
      </c>
    </row>
    <row r="367" spans="1:3" x14ac:dyDescent="0.25">
      <c r="A367" t="s">
        <v>5</v>
      </c>
      <c r="B367" s="2">
        <v>42644</v>
      </c>
      <c r="C367">
        <v>251730</v>
      </c>
    </row>
    <row r="368" spans="1:3" x14ac:dyDescent="0.25">
      <c r="A368" t="s">
        <v>3</v>
      </c>
      <c r="B368" s="2">
        <v>42644</v>
      </c>
      <c r="C368">
        <v>705979</v>
      </c>
    </row>
    <row r="369" spans="1:3" x14ac:dyDescent="0.25">
      <c r="A369" t="s">
        <v>5</v>
      </c>
      <c r="B369" s="2">
        <v>42675</v>
      </c>
      <c r="C369">
        <v>315208</v>
      </c>
    </row>
    <row r="370" spans="1:3" x14ac:dyDescent="0.25">
      <c r="A370" t="s">
        <v>4</v>
      </c>
      <c r="B370" s="2">
        <v>42705</v>
      </c>
      <c r="C370">
        <v>-936</v>
      </c>
    </row>
    <row r="371" spans="1:3" x14ac:dyDescent="0.25">
      <c r="A371" t="s">
        <v>5</v>
      </c>
      <c r="B371" s="2">
        <v>42705</v>
      </c>
      <c r="C371">
        <v>13874941</v>
      </c>
    </row>
    <row r="372" spans="1:3" x14ac:dyDescent="0.25">
      <c r="A372" t="s">
        <v>3</v>
      </c>
      <c r="B372" s="2">
        <v>42705</v>
      </c>
      <c r="C372">
        <v>8559978</v>
      </c>
    </row>
    <row r="373" spans="1:3" x14ac:dyDescent="0.25">
      <c r="A373" t="s">
        <v>5</v>
      </c>
      <c r="B373" s="2">
        <v>42736</v>
      </c>
      <c r="C373">
        <v>1323087</v>
      </c>
    </row>
    <row r="374" spans="1:3" x14ac:dyDescent="0.25">
      <c r="A374" t="s">
        <v>4</v>
      </c>
      <c r="B374" s="2">
        <v>42736</v>
      </c>
      <c r="C374">
        <v>-341</v>
      </c>
    </row>
    <row r="375" spans="1:3" x14ac:dyDescent="0.25">
      <c r="A375" t="s">
        <v>3</v>
      </c>
      <c r="B375" s="2">
        <v>42736</v>
      </c>
      <c r="C375">
        <v>4571248</v>
      </c>
    </row>
    <row r="376" spans="1:3" x14ac:dyDescent="0.25">
      <c r="A376" t="s">
        <v>5</v>
      </c>
      <c r="B376" s="2">
        <v>42767</v>
      </c>
      <c r="C376">
        <v>527090</v>
      </c>
    </row>
    <row r="377" spans="1:3" x14ac:dyDescent="0.25">
      <c r="A377" t="s">
        <v>3</v>
      </c>
      <c r="B377" s="2">
        <v>42767</v>
      </c>
      <c r="C377">
        <v>2845025</v>
      </c>
    </row>
    <row r="378" spans="1:3" x14ac:dyDescent="0.25">
      <c r="A378" t="s">
        <v>4</v>
      </c>
      <c r="B378" s="2">
        <v>42767</v>
      </c>
      <c r="C378">
        <v>-377</v>
      </c>
    </row>
    <row r="379" spans="1:3" x14ac:dyDescent="0.25">
      <c r="A379" t="s">
        <v>4</v>
      </c>
      <c r="B379" s="2">
        <v>42795</v>
      </c>
      <c r="C379">
        <v>-1514</v>
      </c>
    </row>
    <row r="380" spans="1:3" x14ac:dyDescent="0.25">
      <c r="A380" t="s">
        <v>5</v>
      </c>
      <c r="B380" s="2">
        <v>42795</v>
      </c>
      <c r="C380">
        <v>2959832</v>
      </c>
    </row>
    <row r="381" spans="1:3" x14ac:dyDescent="0.25">
      <c r="A381" t="s">
        <v>5</v>
      </c>
      <c r="B381" s="2">
        <v>42826</v>
      </c>
      <c r="C381">
        <v>1053781</v>
      </c>
    </row>
    <row r="382" spans="1:3" x14ac:dyDescent="0.25">
      <c r="A382" t="s">
        <v>3</v>
      </c>
      <c r="B382" s="2">
        <v>42826</v>
      </c>
      <c r="C382">
        <v>7565478</v>
      </c>
    </row>
    <row r="383" spans="1:3" x14ac:dyDescent="0.25">
      <c r="A383" t="s">
        <v>5</v>
      </c>
      <c r="B383" s="2">
        <v>42856</v>
      </c>
      <c r="C383">
        <v>564397</v>
      </c>
    </row>
    <row r="384" spans="1:3" x14ac:dyDescent="0.25">
      <c r="A384" t="s">
        <v>3</v>
      </c>
      <c r="B384" s="2">
        <v>42856</v>
      </c>
      <c r="C384">
        <v>0</v>
      </c>
    </row>
    <row r="385" spans="1:3" x14ac:dyDescent="0.25">
      <c r="A385" t="s">
        <v>5</v>
      </c>
      <c r="B385" s="2">
        <v>42887</v>
      </c>
      <c r="C385">
        <v>534612</v>
      </c>
    </row>
    <row r="386" spans="1:3" x14ac:dyDescent="0.25">
      <c r="A386" t="s">
        <v>3</v>
      </c>
      <c r="B386" s="2">
        <v>42887</v>
      </c>
      <c r="C386">
        <v>9995341</v>
      </c>
    </row>
    <row r="387" spans="1:3" x14ac:dyDescent="0.25">
      <c r="A387" t="s">
        <v>5</v>
      </c>
      <c r="B387" s="2">
        <v>42917</v>
      </c>
      <c r="C387">
        <v>1340373</v>
      </c>
    </row>
    <row r="388" spans="1:3" x14ac:dyDescent="0.25">
      <c r="A388" t="s">
        <v>3</v>
      </c>
      <c r="B388" s="2">
        <v>42917</v>
      </c>
      <c r="C388">
        <v>6829717</v>
      </c>
    </row>
    <row r="389" spans="1:3" x14ac:dyDescent="0.25">
      <c r="A389" t="s">
        <v>4</v>
      </c>
      <c r="B389" s="2">
        <v>42948</v>
      </c>
      <c r="C389">
        <v>-1755</v>
      </c>
    </row>
    <row r="390" spans="1:3" x14ac:dyDescent="0.25">
      <c r="A390" t="s">
        <v>5</v>
      </c>
      <c r="B390" s="2">
        <v>42948</v>
      </c>
      <c r="C390">
        <v>474831</v>
      </c>
    </row>
    <row r="391" spans="1:3" x14ac:dyDescent="0.25">
      <c r="A391" t="s">
        <v>5</v>
      </c>
      <c r="B391" s="2">
        <v>42979</v>
      </c>
      <c r="C391">
        <v>632403</v>
      </c>
    </row>
    <row r="392" spans="1:3" x14ac:dyDescent="0.25">
      <c r="A392" t="s">
        <v>5</v>
      </c>
      <c r="B392" s="2">
        <v>43009</v>
      </c>
      <c r="C392">
        <v>373665</v>
      </c>
    </row>
    <row r="393" spans="1:3" x14ac:dyDescent="0.25">
      <c r="A393" t="s">
        <v>5</v>
      </c>
      <c r="B393" s="2">
        <v>43040</v>
      </c>
      <c r="C393">
        <v>2438440</v>
      </c>
    </row>
    <row r="394" spans="1:3" x14ac:dyDescent="0.25">
      <c r="A394" t="s">
        <v>3</v>
      </c>
      <c r="B394" s="2">
        <v>43070</v>
      </c>
      <c r="C394">
        <v>6725535</v>
      </c>
    </row>
    <row r="395" spans="1:3" x14ac:dyDescent="0.25">
      <c r="A395" t="s">
        <v>5</v>
      </c>
      <c r="B395" s="2">
        <v>43070</v>
      </c>
      <c r="C395">
        <v>4945953</v>
      </c>
    </row>
    <row r="396" spans="1:3" x14ac:dyDescent="0.25">
      <c r="A396" t="s">
        <v>4</v>
      </c>
      <c r="B396" s="2">
        <v>43101</v>
      </c>
      <c r="C396">
        <v>-1537</v>
      </c>
    </row>
    <row r="397" spans="1:3" x14ac:dyDescent="0.25">
      <c r="A397" t="s">
        <v>5</v>
      </c>
      <c r="B397" s="2">
        <v>43101</v>
      </c>
      <c r="C397">
        <v>3188161</v>
      </c>
    </row>
    <row r="398" spans="1:3" x14ac:dyDescent="0.25">
      <c r="A398" t="s">
        <v>5</v>
      </c>
      <c r="B398" s="2">
        <v>43132</v>
      </c>
      <c r="C398">
        <v>500519</v>
      </c>
    </row>
    <row r="399" spans="1:3" x14ac:dyDescent="0.25">
      <c r="A399" t="s">
        <v>4</v>
      </c>
      <c r="B399" s="2">
        <v>43160</v>
      </c>
      <c r="C399">
        <v>-42440</v>
      </c>
    </row>
    <row r="400" spans="1:3" x14ac:dyDescent="0.25">
      <c r="A400" t="s">
        <v>5</v>
      </c>
      <c r="B400" s="2">
        <v>43160</v>
      </c>
      <c r="C400">
        <v>788805</v>
      </c>
    </row>
    <row r="401" spans="1:3" x14ac:dyDescent="0.25">
      <c r="A401" t="s">
        <v>4</v>
      </c>
      <c r="B401" s="2">
        <v>43191</v>
      </c>
      <c r="C401">
        <v>-1546</v>
      </c>
    </row>
    <row r="402" spans="1:3" x14ac:dyDescent="0.25">
      <c r="A402" t="s">
        <v>5</v>
      </c>
      <c r="B402" s="2">
        <v>43191</v>
      </c>
      <c r="C402">
        <v>1279906</v>
      </c>
    </row>
    <row r="403" spans="1:3" x14ac:dyDescent="0.25">
      <c r="A403" t="s">
        <v>3</v>
      </c>
      <c r="B403" s="2">
        <v>43191</v>
      </c>
      <c r="C403">
        <v>20549595</v>
      </c>
    </row>
    <row r="404" spans="1:3" x14ac:dyDescent="0.25">
      <c r="A404" t="s">
        <v>3</v>
      </c>
      <c r="B404" s="2">
        <v>43221</v>
      </c>
      <c r="C404">
        <v>10064262</v>
      </c>
    </row>
    <row r="405" spans="1:3" x14ac:dyDescent="0.25">
      <c r="A405" t="s">
        <v>5</v>
      </c>
      <c r="B405" s="2">
        <v>43221</v>
      </c>
      <c r="C405">
        <v>248598</v>
      </c>
    </row>
    <row r="406" spans="1:3" x14ac:dyDescent="0.25">
      <c r="A406" t="s">
        <v>4</v>
      </c>
      <c r="B406" s="2">
        <v>43252</v>
      </c>
      <c r="C406">
        <v>-2502</v>
      </c>
    </row>
    <row r="407" spans="1:3" x14ac:dyDescent="0.25">
      <c r="A407" t="s">
        <v>3</v>
      </c>
      <c r="B407" s="2">
        <v>43252</v>
      </c>
      <c r="C407">
        <v>7067298</v>
      </c>
    </row>
    <row r="408" spans="1:3" x14ac:dyDescent="0.25">
      <c r="A408" t="s">
        <v>5</v>
      </c>
      <c r="B408" s="2">
        <v>43252</v>
      </c>
      <c r="C408">
        <v>387833</v>
      </c>
    </row>
    <row r="409" spans="1:3" x14ac:dyDescent="0.25">
      <c r="A409" t="s">
        <v>5</v>
      </c>
      <c r="B409" s="2">
        <v>43282</v>
      </c>
      <c r="C409">
        <v>357466</v>
      </c>
    </row>
    <row r="410" spans="1:3" x14ac:dyDescent="0.25">
      <c r="A410" t="s">
        <v>3</v>
      </c>
      <c r="B410" s="2">
        <v>43282</v>
      </c>
      <c r="C410">
        <v>3143517</v>
      </c>
    </row>
    <row r="411" spans="1:3" x14ac:dyDescent="0.25">
      <c r="A411" t="s">
        <v>5</v>
      </c>
      <c r="B411" s="2">
        <v>43313</v>
      </c>
      <c r="C411">
        <v>142115</v>
      </c>
    </row>
    <row r="412" spans="1:3" x14ac:dyDescent="0.25">
      <c r="A412" t="s">
        <v>3</v>
      </c>
      <c r="B412" s="2">
        <v>43313</v>
      </c>
      <c r="C412">
        <v>2264101</v>
      </c>
    </row>
    <row r="413" spans="1:3" x14ac:dyDescent="0.25">
      <c r="A413" t="s">
        <v>3</v>
      </c>
      <c r="B413" s="2">
        <v>43344</v>
      </c>
      <c r="C413">
        <v>4717062</v>
      </c>
    </row>
    <row r="414" spans="1:3" x14ac:dyDescent="0.25">
      <c r="A414" t="s">
        <v>5</v>
      </c>
      <c r="B414" s="2">
        <v>43344</v>
      </c>
      <c r="C414">
        <v>1169144</v>
      </c>
    </row>
    <row r="415" spans="1:3" x14ac:dyDescent="0.25">
      <c r="A415" t="s">
        <v>3</v>
      </c>
      <c r="B415" s="2">
        <v>43374</v>
      </c>
      <c r="C415">
        <v>3937045</v>
      </c>
    </row>
    <row r="416" spans="1:3" x14ac:dyDescent="0.25">
      <c r="A416" t="s">
        <v>5</v>
      </c>
      <c r="B416" s="2">
        <v>43374</v>
      </c>
      <c r="C416">
        <v>1065348</v>
      </c>
    </row>
    <row r="417" spans="1:3" x14ac:dyDescent="0.25">
      <c r="A417" t="s">
        <v>4</v>
      </c>
      <c r="B417" s="2">
        <v>43374</v>
      </c>
      <c r="C417">
        <v>-887</v>
      </c>
    </row>
    <row r="418" spans="1:3" x14ac:dyDescent="0.25">
      <c r="A418" t="s">
        <v>3</v>
      </c>
      <c r="B418" s="2">
        <v>43405</v>
      </c>
      <c r="C418">
        <v>10680780</v>
      </c>
    </row>
    <row r="419" spans="1:3" x14ac:dyDescent="0.25">
      <c r="A419" t="s">
        <v>4</v>
      </c>
      <c r="B419" s="2">
        <v>43405</v>
      </c>
      <c r="C419">
        <v>-105</v>
      </c>
    </row>
    <row r="420" spans="1:3" x14ac:dyDescent="0.25">
      <c r="A420" t="s">
        <v>5</v>
      </c>
      <c r="B420" s="2">
        <v>43405</v>
      </c>
      <c r="C420">
        <v>1267045</v>
      </c>
    </row>
    <row r="421" spans="1:3" x14ac:dyDescent="0.25">
      <c r="A421" t="s">
        <v>4</v>
      </c>
      <c r="B421" s="2">
        <v>43435</v>
      </c>
      <c r="C421">
        <v>-5665</v>
      </c>
    </row>
    <row r="422" spans="1:3" x14ac:dyDescent="0.25">
      <c r="A422" t="s">
        <v>3</v>
      </c>
      <c r="B422" s="2">
        <v>43435</v>
      </c>
      <c r="C422">
        <v>18438615</v>
      </c>
    </row>
    <row r="423" spans="1:3" x14ac:dyDescent="0.25">
      <c r="A423" t="s">
        <v>5</v>
      </c>
      <c r="B423" s="2">
        <v>43435</v>
      </c>
      <c r="C423">
        <v>9584572</v>
      </c>
    </row>
    <row r="424" spans="1:3" x14ac:dyDescent="0.25">
      <c r="A424" t="s">
        <v>4</v>
      </c>
      <c r="B424" s="2">
        <v>43466</v>
      </c>
      <c r="C424">
        <v>0</v>
      </c>
    </row>
    <row r="425" spans="1:3" x14ac:dyDescent="0.25">
      <c r="A425" t="s">
        <v>5</v>
      </c>
      <c r="B425" s="2">
        <v>43466</v>
      </c>
      <c r="C425">
        <v>2600036</v>
      </c>
    </row>
    <row r="426" spans="1:3" x14ac:dyDescent="0.25">
      <c r="A426" t="s">
        <v>5</v>
      </c>
      <c r="B426" s="2">
        <v>43497</v>
      </c>
      <c r="C426">
        <v>1296684</v>
      </c>
    </row>
    <row r="427" spans="1:3" x14ac:dyDescent="0.25">
      <c r="A427" t="s">
        <v>4</v>
      </c>
      <c r="B427" s="2">
        <v>43497</v>
      </c>
      <c r="C427">
        <v>-3709</v>
      </c>
    </row>
    <row r="428" spans="1:3" x14ac:dyDescent="0.25">
      <c r="A428" t="s">
        <v>5</v>
      </c>
      <c r="B428" s="2">
        <v>43525</v>
      </c>
      <c r="C428">
        <v>1965111</v>
      </c>
    </row>
    <row r="429" spans="1:3" x14ac:dyDescent="0.25">
      <c r="A429" t="s">
        <v>3</v>
      </c>
      <c r="B429" s="2">
        <v>43525</v>
      </c>
      <c r="C429">
        <v>13292397</v>
      </c>
    </row>
    <row r="430" spans="1:3" x14ac:dyDescent="0.25">
      <c r="A430" t="s">
        <v>4</v>
      </c>
      <c r="B430" s="2">
        <v>43556</v>
      </c>
      <c r="C430">
        <v>0</v>
      </c>
    </row>
    <row r="431" spans="1:3" x14ac:dyDescent="0.25">
      <c r="A431" t="s">
        <v>3</v>
      </c>
      <c r="B431" s="2">
        <v>43556</v>
      </c>
      <c r="C431">
        <v>613794</v>
      </c>
    </row>
    <row r="432" spans="1:3" x14ac:dyDescent="0.25">
      <c r="A432" t="s">
        <v>5</v>
      </c>
      <c r="B432" s="2">
        <v>43556</v>
      </c>
      <c r="C432">
        <v>76506</v>
      </c>
    </row>
    <row r="433" spans="1:3" x14ac:dyDescent="0.25">
      <c r="A433" t="s">
        <v>4</v>
      </c>
      <c r="B433" s="2">
        <v>43586</v>
      </c>
      <c r="C433">
        <v>-104</v>
      </c>
    </row>
    <row r="434" spans="1:3" x14ac:dyDescent="0.25">
      <c r="A434" t="s">
        <v>3</v>
      </c>
      <c r="B434" s="2">
        <v>43586</v>
      </c>
      <c r="C434">
        <v>5943010</v>
      </c>
    </row>
    <row r="435" spans="1:3" x14ac:dyDescent="0.25">
      <c r="A435" t="s">
        <v>5</v>
      </c>
      <c r="B435" s="2">
        <v>43586</v>
      </c>
      <c r="C435">
        <v>492482</v>
      </c>
    </row>
    <row r="436" spans="1:3" x14ac:dyDescent="0.25">
      <c r="A436" t="s">
        <v>3</v>
      </c>
      <c r="B436" s="2">
        <v>43617</v>
      </c>
      <c r="C436">
        <v>2084101</v>
      </c>
    </row>
    <row r="437" spans="1:3" x14ac:dyDescent="0.25">
      <c r="A437" t="s">
        <v>4</v>
      </c>
      <c r="B437" s="2">
        <v>43617</v>
      </c>
      <c r="C437">
        <v>-1320</v>
      </c>
    </row>
    <row r="438" spans="1:3" x14ac:dyDescent="0.25">
      <c r="A438" t="s">
        <v>5</v>
      </c>
      <c r="B438" s="2">
        <v>43617</v>
      </c>
      <c r="C438">
        <v>3523581</v>
      </c>
    </row>
    <row r="439" spans="1:3" x14ac:dyDescent="0.25">
      <c r="A439" t="s">
        <v>4</v>
      </c>
      <c r="B439" s="2">
        <v>43647</v>
      </c>
      <c r="C439">
        <v>11765</v>
      </c>
    </row>
    <row r="440" spans="1:3" x14ac:dyDescent="0.25">
      <c r="A440" t="s">
        <v>5</v>
      </c>
      <c r="B440" s="2">
        <v>43647</v>
      </c>
      <c r="C440">
        <v>1196581</v>
      </c>
    </row>
    <row r="441" spans="1:3" x14ac:dyDescent="0.25">
      <c r="A441" t="s">
        <v>3</v>
      </c>
      <c r="B441" s="2">
        <v>43647</v>
      </c>
      <c r="C441">
        <v>321359</v>
      </c>
    </row>
    <row r="442" spans="1:3" x14ac:dyDescent="0.25">
      <c r="A442" t="s">
        <v>5</v>
      </c>
      <c r="B442" s="2">
        <v>43678</v>
      </c>
      <c r="C442">
        <v>1211912</v>
      </c>
    </row>
    <row r="443" spans="1:3" x14ac:dyDescent="0.25">
      <c r="A443" t="s">
        <v>4</v>
      </c>
      <c r="B443" s="2">
        <v>43678</v>
      </c>
      <c r="C443">
        <v>-45</v>
      </c>
    </row>
    <row r="444" spans="1:3" x14ac:dyDescent="0.25">
      <c r="A444" t="s">
        <v>3</v>
      </c>
      <c r="B444" s="2">
        <v>43709</v>
      </c>
      <c r="C444">
        <v>11661</v>
      </c>
    </row>
    <row r="445" spans="1:3" x14ac:dyDescent="0.25">
      <c r="A445" t="s">
        <v>4</v>
      </c>
      <c r="B445" s="2">
        <v>43709</v>
      </c>
      <c r="C445">
        <v>2153</v>
      </c>
    </row>
    <row r="446" spans="1:3" x14ac:dyDescent="0.25">
      <c r="A446" t="s">
        <v>5</v>
      </c>
      <c r="B446" s="2">
        <v>43709</v>
      </c>
      <c r="C446">
        <v>2763378</v>
      </c>
    </row>
    <row r="447" spans="1:3" x14ac:dyDescent="0.25">
      <c r="A447" t="s">
        <v>5</v>
      </c>
      <c r="B447" s="2">
        <v>43739</v>
      </c>
      <c r="C447">
        <v>519642</v>
      </c>
    </row>
    <row r="448" spans="1:3" x14ac:dyDescent="0.25">
      <c r="A448" t="s">
        <v>5</v>
      </c>
      <c r="B448" s="2">
        <v>43770</v>
      </c>
      <c r="C448">
        <v>3278654</v>
      </c>
    </row>
    <row r="449" spans="1:3" x14ac:dyDescent="0.25">
      <c r="A449" t="s">
        <v>3</v>
      </c>
      <c r="B449" s="2">
        <v>43770</v>
      </c>
      <c r="C449">
        <v>163855</v>
      </c>
    </row>
    <row r="450" spans="1:3" x14ac:dyDescent="0.25">
      <c r="A450" t="s">
        <v>5</v>
      </c>
      <c r="B450" s="2">
        <v>43800</v>
      </c>
      <c r="C450">
        <v>9666135</v>
      </c>
    </row>
    <row r="451" spans="1:3" x14ac:dyDescent="0.25">
      <c r="A451" t="s">
        <v>3</v>
      </c>
      <c r="B451" s="2">
        <v>43800</v>
      </c>
      <c r="C451">
        <v>5563426</v>
      </c>
    </row>
    <row r="452" spans="1:3" x14ac:dyDescent="0.25">
      <c r="A452" t="s">
        <v>5</v>
      </c>
      <c r="B452" s="2">
        <v>43831</v>
      </c>
      <c r="C452">
        <v>2714597</v>
      </c>
    </row>
    <row r="453" spans="1:3" x14ac:dyDescent="0.25">
      <c r="A453" t="s">
        <v>4</v>
      </c>
      <c r="B453" s="2">
        <v>43831</v>
      </c>
      <c r="C453">
        <v>-237</v>
      </c>
    </row>
    <row r="454" spans="1:3" x14ac:dyDescent="0.25">
      <c r="A454" t="s">
        <v>3</v>
      </c>
      <c r="B454" s="2">
        <v>43831</v>
      </c>
      <c r="C454">
        <v>2448522</v>
      </c>
    </row>
    <row r="455" spans="1:3" x14ac:dyDescent="0.25">
      <c r="A455" t="s">
        <v>3</v>
      </c>
      <c r="B455" s="2">
        <v>43862</v>
      </c>
      <c r="C455">
        <v>3475726</v>
      </c>
    </row>
    <row r="456" spans="1:3" x14ac:dyDescent="0.25">
      <c r="A456" t="s">
        <v>5</v>
      </c>
      <c r="B456" s="2">
        <v>43862</v>
      </c>
      <c r="C456">
        <v>1232079</v>
      </c>
    </row>
    <row r="457" spans="1:3" x14ac:dyDescent="0.25">
      <c r="A457" t="s">
        <v>5</v>
      </c>
      <c r="B457" s="2">
        <v>43891</v>
      </c>
      <c r="C457">
        <v>3603444</v>
      </c>
    </row>
    <row r="458" spans="1:3" x14ac:dyDescent="0.25">
      <c r="A458" t="s">
        <v>3</v>
      </c>
      <c r="B458" s="2">
        <v>43891</v>
      </c>
      <c r="C458">
        <v>5079928</v>
      </c>
    </row>
    <row r="459" spans="1:3" x14ac:dyDescent="0.25">
      <c r="A459" t="s">
        <v>3</v>
      </c>
      <c r="B459" s="2">
        <v>43922</v>
      </c>
      <c r="C459">
        <v>7293164</v>
      </c>
    </row>
    <row r="460" spans="1:3" x14ac:dyDescent="0.25">
      <c r="A460" t="s">
        <v>5</v>
      </c>
      <c r="B460" s="2">
        <v>43922</v>
      </c>
      <c r="C460">
        <v>1521483</v>
      </c>
    </row>
    <row r="461" spans="1:3" x14ac:dyDescent="0.25">
      <c r="A461" t="s">
        <v>3</v>
      </c>
      <c r="B461" s="2">
        <v>43952</v>
      </c>
      <c r="C461">
        <v>4956129</v>
      </c>
    </row>
    <row r="462" spans="1:3" x14ac:dyDescent="0.25">
      <c r="A462" t="s">
        <v>5</v>
      </c>
      <c r="B462" s="2">
        <v>43952</v>
      </c>
      <c r="C462">
        <v>1730041</v>
      </c>
    </row>
    <row r="463" spans="1:3" x14ac:dyDescent="0.25">
      <c r="A463" t="s">
        <v>4</v>
      </c>
      <c r="B463" s="2">
        <v>43983</v>
      </c>
      <c r="C463">
        <v>210646</v>
      </c>
    </row>
    <row r="464" spans="1:3" x14ac:dyDescent="0.25">
      <c r="A464" t="s">
        <v>5</v>
      </c>
      <c r="B464" s="2">
        <v>43983</v>
      </c>
      <c r="C464">
        <v>2893669</v>
      </c>
    </row>
    <row r="465" spans="1:3" x14ac:dyDescent="0.25">
      <c r="A465" t="s">
        <v>3</v>
      </c>
      <c r="B465" s="2">
        <v>43983</v>
      </c>
      <c r="C465">
        <v>929282</v>
      </c>
    </row>
    <row r="466" spans="1:3" x14ac:dyDescent="0.25">
      <c r="A466" t="s">
        <v>5</v>
      </c>
      <c r="B466" s="2">
        <v>44013</v>
      </c>
      <c r="C466">
        <v>1322184</v>
      </c>
    </row>
    <row r="467" spans="1:3" x14ac:dyDescent="0.25">
      <c r="A467" t="s">
        <v>3</v>
      </c>
      <c r="B467" s="2">
        <v>44013</v>
      </c>
      <c r="C467">
        <v>60811</v>
      </c>
    </row>
    <row r="468" spans="1:3" x14ac:dyDescent="0.25">
      <c r="A468" t="s">
        <v>4</v>
      </c>
      <c r="B468" s="2">
        <v>44013</v>
      </c>
      <c r="C468">
        <v>-18665</v>
      </c>
    </row>
    <row r="469" spans="1:3" x14ac:dyDescent="0.25">
      <c r="A469" t="s">
        <v>5</v>
      </c>
      <c r="B469" s="2">
        <v>44044</v>
      </c>
      <c r="C469">
        <v>1495122</v>
      </c>
    </row>
    <row r="470" spans="1:3" x14ac:dyDescent="0.25">
      <c r="A470" t="s">
        <v>3</v>
      </c>
      <c r="B470" s="2">
        <v>44044</v>
      </c>
      <c r="C470">
        <v>2601</v>
      </c>
    </row>
    <row r="471" spans="1:3" x14ac:dyDescent="0.25">
      <c r="A471" t="s">
        <v>4</v>
      </c>
      <c r="B471" s="2">
        <v>44044</v>
      </c>
      <c r="C471">
        <v>-492</v>
      </c>
    </row>
    <row r="472" spans="1:3" x14ac:dyDescent="0.25">
      <c r="A472" t="s">
        <v>5</v>
      </c>
      <c r="B472" s="2">
        <v>44075</v>
      </c>
      <c r="C472">
        <v>5534295</v>
      </c>
    </row>
    <row r="473" spans="1:3" x14ac:dyDescent="0.25">
      <c r="A473" t="s">
        <v>3</v>
      </c>
      <c r="B473" s="2">
        <v>44105</v>
      </c>
      <c r="C473">
        <v>2644907</v>
      </c>
    </row>
    <row r="474" spans="1:3" x14ac:dyDescent="0.25">
      <c r="A474" t="s">
        <v>5</v>
      </c>
      <c r="B474" s="2">
        <v>44105</v>
      </c>
      <c r="C474">
        <v>1149834</v>
      </c>
    </row>
    <row r="475" spans="1:3" x14ac:dyDescent="0.25">
      <c r="A475" t="s">
        <v>4</v>
      </c>
      <c r="B475" s="2">
        <v>44105</v>
      </c>
      <c r="C475">
        <v>-11</v>
      </c>
    </row>
    <row r="476" spans="1:3" x14ac:dyDescent="0.25">
      <c r="A476" t="s">
        <v>3</v>
      </c>
      <c r="B476" s="2">
        <v>44136</v>
      </c>
      <c r="C476">
        <v>305064</v>
      </c>
    </row>
    <row r="477" spans="1:3" x14ac:dyDescent="0.25">
      <c r="A477" t="s">
        <v>5</v>
      </c>
      <c r="B477" s="2">
        <v>44136</v>
      </c>
      <c r="C477">
        <v>4356799</v>
      </c>
    </row>
    <row r="478" spans="1:3" x14ac:dyDescent="0.25">
      <c r="A478" t="s">
        <v>5</v>
      </c>
      <c r="B478" s="2">
        <v>44166</v>
      </c>
      <c r="C478">
        <v>20152259</v>
      </c>
    </row>
    <row r="479" spans="1:3" x14ac:dyDescent="0.25">
      <c r="A479" t="s">
        <v>5</v>
      </c>
      <c r="B479" s="2">
        <v>44197</v>
      </c>
      <c r="C479">
        <v>2928426</v>
      </c>
    </row>
    <row r="480" spans="1:3" x14ac:dyDescent="0.25">
      <c r="A480" t="s">
        <v>3</v>
      </c>
      <c r="B480" s="2">
        <v>44197</v>
      </c>
      <c r="C480">
        <v>3878154</v>
      </c>
    </row>
    <row r="481" spans="1:3" x14ac:dyDescent="0.25">
      <c r="A481" t="s">
        <v>4</v>
      </c>
      <c r="B481" s="2">
        <v>44197</v>
      </c>
      <c r="C481">
        <v>-12454</v>
      </c>
    </row>
    <row r="482" spans="1:3" x14ac:dyDescent="0.25">
      <c r="A482" t="s">
        <v>5</v>
      </c>
      <c r="B482" s="2">
        <v>44228</v>
      </c>
      <c r="C482">
        <v>1949146</v>
      </c>
    </row>
    <row r="483" spans="1:3" x14ac:dyDescent="0.25">
      <c r="A483" t="s">
        <v>4</v>
      </c>
      <c r="B483" s="2">
        <v>44256</v>
      </c>
      <c r="C483">
        <v>-5796</v>
      </c>
    </row>
    <row r="484" spans="1:3" x14ac:dyDescent="0.25">
      <c r="A484" t="s">
        <v>5</v>
      </c>
      <c r="B484" s="2">
        <v>44256</v>
      </c>
      <c r="C484">
        <v>5513633</v>
      </c>
    </row>
    <row r="485" spans="1:3" x14ac:dyDescent="0.25">
      <c r="A485" t="s">
        <v>3</v>
      </c>
      <c r="B485" s="2">
        <v>44287</v>
      </c>
      <c r="C485">
        <v>3135055</v>
      </c>
    </row>
    <row r="486" spans="1:3" x14ac:dyDescent="0.25">
      <c r="A486" t="s">
        <v>5</v>
      </c>
      <c r="B486" s="2">
        <v>44287</v>
      </c>
      <c r="C486">
        <v>2555923</v>
      </c>
    </row>
    <row r="487" spans="1:3" x14ac:dyDescent="0.25">
      <c r="A487" t="s">
        <v>4</v>
      </c>
      <c r="B487" s="2">
        <v>44287</v>
      </c>
      <c r="C487">
        <v>-14030</v>
      </c>
    </row>
    <row r="488" spans="1:3" x14ac:dyDescent="0.25">
      <c r="A488" t="s">
        <v>4</v>
      </c>
      <c r="B488" s="2">
        <v>44317</v>
      </c>
      <c r="C488">
        <v>-7686</v>
      </c>
    </row>
    <row r="489" spans="1:3" x14ac:dyDescent="0.25">
      <c r="A489" t="s">
        <v>5</v>
      </c>
      <c r="B489" s="2">
        <v>44317</v>
      </c>
      <c r="C489">
        <v>3483880</v>
      </c>
    </row>
    <row r="490" spans="1:3" x14ac:dyDescent="0.25">
      <c r="A490" t="s">
        <v>4</v>
      </c>
      <c r="B490" s="2">
        <v>44348</v>
      </c>
      <c r="C490">
        <v>-12605</v>
      </c>
    </row>
    <row r="491" spans="1:3" x14ac:dyDescent="0.25">
      <c r="A491" t="s">
        <v>5</v>
      </c>
      <c r="B491" s="2">
        <v>44348</v>
      </c>
      <c r="C491">
        <v>4552336</v>
      </c>
    </row>
    <row r="492" spans="1:3" x14ac:dyDescent="0.25">
      <c r="A492" t="s">
        <v>5</v>
      </c>
      <c r="B492" s="2">
        <v>44378</v>
      </c>
      <c r="C492">
        <v>2486438</v>
      </c>
    </row>
    <row r="493" spans="1:3" x14ac:dyDescent="0.25">
      <c r="A493" t="s">
        <v>3</v>
      </c>
      <c r="B493" s="2">
        <v>44378</v>
      </c>
      <c r="C493">
        <v>3013301</v>
      </c>
    </row>
    <row r="494" spans="1:3" x14ac:dyDescent="0.25">
      <c r="A494" t="s">
        <v>5</v>
      </c>
      <c r="B494" s="2">
        <v>44409</v>
      </c>
      <c r="C494">
        <v>2580244</v>
      </c>
    </row>
    <row r="495" spans="1:3" x14ac:dyDescent="0.25">
      <c r="A495" t="s">
        <v>4</v>
      </c>
      <c r="B495" s="2">
        <v>44440</v>
      </c>
      <c r="C495">
        <v>-10288</v>
      </c>
    </row>
    <row r="496" spans="1:3" x14ac:dyDescent="0.25">
      <c r="A496" t="s">
        <v>5</v>
      </c>
      <c r="B496" s="2">
        <v>44440</v>
      </c>
      <c r="C496">
        <v>2007009</v>
      </c>
    </row>
    <row r="497" spans="1:3" x14ac:dyDescent="0.25">
      <c r="A497" t="s">
        <v>3</v>
      </c>
      <c r="B497" s="2">
        <v>44470</v>
      </c>
      <c r="C497">
        <v>10054087</v>
      </c>
    </row>
    <row r="498" spans="1:3" x14ac:dyDescent="0.25">
      <c r="A498" t="s">
        <v>4</v>
      </c>
      <c r="B498" s="2">
        <v>44470</v>
      </c>
      <c r="C498">
        <v>-34358</v>
      </c>
    </row>
    <row r="499" spans="1:3" x14ac:dyDescent="0.25">
      <c r="A499" t="s">
        <v>5</v>
      </c>
      <c r="B499" s="2">
        <v>44470</v>
      </c>
      <c r="C499">
        <v>4724124</v>
      </c>
    </row>
    <row r="500" spans="1:3" x14ac:dyDescent="0.25">
      <c r="A500" t="s">
        <v>9</v>
      </c>
      <c r="B500" s="2">
        <v>44470</v>
      </c>
      <c r="C500">
        <v>0</v>
      </c>
    </row>
    <row r="501" spans="1:3" x14ac:dyDescent="0.25">
      <c r="A501" t="s">
        <v>4</v>
      </c>
      <c r="B501" s="2">
        <v>44501</v>
      </c>
      <c r="C501">
        <v>-41005</v>
      </c>
    </row>
    <row r="502" spans="1:3" x14ac:dyDescent="0.25">
      <c r="A502" t="s">
        <v>5</v>
      </c>
      <c r="B502" s="2">
        <v>44501</v>
      </c>
      <c r="C502">
        <v>3615562</v>
      </c>
    </row>
    <row r="503" spans="1:3" x14ac:dyDescent="0.25">
      <c r="A503" t="s">
        <v>3</v>
      </c>
      <c r="B503" s="2">
        <v>44531</v>
      </c>
      <c r="C503">
        <v>3088747</v>
      </c>
    </row>
    <row r="504" spans="1:3" x14ac:dyDescent="0.25">
      <c r="A504" t="s">
        <v>5</v>
      </c>
      <c r="B504" s="2">
        <v>44531</v>
      </c>
      <c r="C504">
        <v>11910367</v>
      </c>
    </row>
    <row r="505" spans="1:3" x14ac:dyDescent="0.25">
      <c r="A505" t="s">
        <v>4</v>
      </c>
      <c r="B505" s="2">
        <v>44531</v>
      </c>
      <c r="C505">
        <v>-11428</v>
      </c>
    </row>
    <row r="506" spans="1:3" x14ac:dyDescent="0.25">
      <c r="A506" t="s">
        <v>4</v>
      </c>
      <c r="B506" s="2">
        <v>44562</v>
      </c>
      <c r="C506">
        <v>0</v>
      </c>
    </row>
    <row r="507" spans="1:3" x14ac:dyDescent="0.25">
      <c r="A507" t="s">
        <v>5</v>
      </c>
      <c r="B507" s="2">
        <v>44562</v>
      </c>
      <c r="C507">
        <v>4042415</v>
      </c>
    </row>
    <row r="508" spans="1:3" x14ac:dyDescent="0.25">
      <c r="A508" t="s">
        <v>5</v>
      </c>
      <c r="B508" s="2">
        <v>44593</v>
      </c>
      <c r="C508">
        <v>864172</v>
      </c>
    </row>
    <row r="509" spans="1:3" x14ac:dyDescent="0.25">
      <c r="A509" t="s">
        <v>3</v>
      </c>
      <c r="B509" s="2">
        <v>44593</v>
      </c>
      <c r="C509">
        <v>165951</v>
      </c>
    </row>
    <row r="510" spans="1:3" x14ac:dyDescent="0.25">
      <c r="A510" t="s">
        <v>5</v>
      </c>
      <c r="B510" s="2">
        <v>44621</v>
      </c>
      <c r="C510">
        <v>3789249</v>
      </c>
    </row>
    <row r="511" spans="1:3" x14ac:dyDescent="0.25">
      <c r="A511" t="s">
        <v>3</v>
      </c>
      <c r="B511" s="2">
        <v>44621</v>
      </c>
      <c r="C511">
        <v>933689</v>
      </c>
    </row>
    <row r="512" spans="1:3" x14ac:dyDescent="0.25">
      <c r="A512" t="s">
        <v>4</v>
      </c>
      <c r="B512" s="2">
        <v>44621</v>
      </c>
      <c r="C512">
        <v>-14453</v>
      </c>
    </row>
    <row r="513" spans="1:3" x14ac:dyDescent="0.25">
      <c r="A513" t="s">
        <v>5</v>
      </c>
      <c r="B513" s="2">
        <v>44652</v>
      </c>
      <c r="C513">
        <v>6091763</v>
      </c>
    </row>
    <row r="514" spans="1:3" x14ac:dyDescent="0.25">
      <c r="A514" t="s">
        <v>4</v>
      </c>
      <c r="B514" s="2">
        <v>44652</v>
      </c>
      <c r="C514">
        <v>-67148</v>
      </c>
    </row>
    <row r="515" spans="1:3" x14ac:dyDescent="0.25">
      <c r="A515" t="s">
        <v>3</v>
      </c>
      <c r="B515" s="2">
        <v>44682</v>
      </c>
      <c r="C515">
        <v>8981916</v>
      </c>
    </row>
    <row r="516" spans="1:3" x14ac:dyDescent="0.25">
      <c r="A516" t="s">
        <v>5</v>
      </c>
      <c r="B516" s="2">
        <v>44682</v>
      </c>
      <c r="C516">
        <v>1391864</v>
      </c>
    </row>
    <row r="517" spans="1:3" x14ac:dyDescent="0.25">
      <c r="A517" t="s">
        <v>5</v>
      </c>
      <c r="B517" s="2">
        <v>44713</v>
      </c>
      <c r="C517">
        <v>3301794</v>
      </c>
    </row>
    <row r="518" spans="1:3" x14ac:dyDescent="0.25">
      <c r="A518" t="s">
        <v>4</v>
      </c>
      <c r="B518" s="2">
        <v>44713</v>
      </c>
      <c r="C518">
        <v>-27060</v>
      </c>
    </row>
    <row r="519" spans="1:3" x14ac:dyDescent="0.25">
      <c r="A519" t="s">
        <v>3</v>
      </c>
      <c r="B519" s="2">
        <v>44713</v>
      </c>
      <c r="C519">
        <v>5439229</v>
      </c>
    </row>
    <row r="520" spans="1:3" x14ac:dyDescent="0.25">
      <c r="A520" t="s">
        <v>5</v>
      </c>
      <c r="B520" s="2">
        <v>44743</v>
      </c>
      <c r="C520">
        <v>897532</v>
      </c>
    </row>
    <row r="521" spans="1:3" x14ac:dyDescent="0.25">
      <c r="A521" t="s">
        <v>3</v>
      </c>
      <c r="B521" s="2">
        <v>44743</v>
      </c>
      <c r="C521">
        <v>5045516</v>
      </c>
    </row>
    <row r="522" spans="1:3" x14ac:dyDescent="0.25">
      <c r="A522" t="s">
        <v>4</v>
      </c>
      <c r="B522" s="2">
        <v>44743</v>
      </c>
      <c r="C522">
        <v>-4691</v>
      </c>
    </row>
    <row r="523" spans="1:3" x14ac:dyDescent="0.25">
      <c r="A523" t="s">
        <v>3</v>
      </c>
      <c r="B523" s="2">
        <v>44774</v>
      </c>
      <c r="C523">
        <v>642020</v>
      </c>
    </row>
    <row r="524" spans="1:3" x14ac:dyDescent="0.25">
      <c r="A524" t="s">
        <v>4</v>
      </c>
      <c r="B524" s="2">
        <v>44774</v>
      </c>
      <c r="C524">
        <v>-39954</v>
      </c>
    </row>
    <row r="525" spans="1:3" x14ac:dyDescent="0.25">
      <c r="A525" t="s">
        <v>5</v>
      </c>
      <c r="B525" s="2">
        <v>44774</v>
      </c>
      <c r="C525">
        <v>1161505</v>
      </c>
    </row>
    <row r="526" spans="1:3" x14ac:dyDescent="0.25">
      <c r="A526" t="s">
        <v>4</v>
      </c>
      <c r="B526" s="2">
        <v>44805</v>
      </c>
      <c r="C526">
        <v>-31107</v>
      </c>
    </row>
    <row r="527" spans="1:3" x14ac:dyDescent="0.25">
      <c r="A527" t="s">
        <v>3</v>
      </c>
      <c r="B527" s="2">
        <v>44805</v>
      </c>
      <c r="C527">
        <v>2065231</v>
      </c>
    </row>
    <row r="528" spans="1:3" x14ac:dyDescent="0.25">
      <c r="A528" t="s">
        <v>5</v>
      </c>
      <c r="B528" s="2">
        <v>44805</v>
      </c>
      <c r="C528">
        <v>647823</v>
      </c>
    </row>
    <row r="529" spans="1:3" x14ac:dyDescent="0.25">
      <c r="A529" t="s">
        <v>4</v>
      </c>
      <c r="B529" s="2">
        <v>44835</v>
      </c>
      <c r="C529">
        <v>-53546</v>
      </c>
    </row>
    <row r="530" spans="1:3" x14ac:dyDescent="0.25">
      <c r="A530" t="s">
        <v>5</v>
      </c>
      <c r="B530" s="2">
        <v>44835</v>
      </c>
      <c r="C530">
        <v>1304617</v>
      </c>
    </row>
    <row r="531" spans="1:3" x14ac:dyDescent="0.25">
      <c r="A531" t="s">
        <v>5</v>
      </c>
      <c r="B531" s="2">
        <v>44866</v>
      </c>
      <c r="C531">
        <v>5136144</v>
      </c>
    </row>
    <row r="532" spans="1:3" x14ac:dyDescent="0.25">
      <c r="A532" t="s">
        <v>3</v>
      </c>
      <c r="B532" s="2">
        <v>44866</v>
      </c>
      <c r="C532">
        <v>98447</v>
      </c>
    </row>
    <row r="533" spans="1:3" x14ac:dyDescent="0.25">
      <c r="A533" t="s">
        <v>4</v>
      </c>
      <c r="B533" s="2">
        <v>44866</v>
      </c>
      <c r="C533">
        <v>-809</v>
      </c>
    </row>
    <row r="534" spans="1:3" x14ac:dyDescent="0.25">
      <c r="A534" t="s">
        <v>4</v>
      </c>
      <c r="B534" s="2">
        <v>44896</v>
      </c>
      <c r="C534">
        <v>-10548</v>
      </c>
    </row>
    <row r="535" spans="1:3" x14ac:dyDescent="0.25">
      <c r="A535" t="s">
        <v>3</v>
      </c>
      <c r="B535" s="2">
        <v>44896</v>
      </c>
      <c r="C535">
        <v>5038</v>
      </c>
    </row>
    <row r="536" spans="1:3" x14ac:dyDescent="0.25">
      <c r="A536" t="s">
        <v>5</v>
      </c>
      <c r="B536" s="2">
        <v>44896</v>
      </c>
      <c r="C536">
        <v>8080490</v>
      </c>
    </row>
    <row r="537" spans="1:3" x14ac:dyDescent="0.25">
      <c r="A537" t="s">
        <v>5</v>
      </c>
      <c r="B537" s="2">
        <v>44927</v>
      </c>
      <c r="C537">
        <v>2920240</v>
      </c>
    </row>
    <row r="538" spans="1:3" x14ac:dyDescent="0.25">
      <c r="A538" t="s">
        <v>3</v>
      </c>
      <c r="B538" s="2">
        <v>44927</v>
      </c>
      <c r="C538">
        <v>2866377</v>
      </c>
    </row>
    <row r="539" spans="1:3" x14ac:dyDescent="0.25">
      <c r="A539" t="s">
        <v>4</v>
      </c>
      <c r="B539" s="2">
        <v>44927</v>
      </c>
      <c r="C539">
        <v>-131</v>
      </c>
    </row>
    <row r="540" spans="1:3" x14ac:dyDescent="0.25">
      <c r="A540" t="s">
        <v>5</v>
      </c>
      <c r="B540" s="2">
        <v>44958</v>
      </c>
      <c r="C540">
        <v>1667580</v>
      </c>
    </row>
    <row r="541" spans="1:3" x14ac:dyDescent="0.25">
      <c r="A541" t="s">
        <v>4</v>
      </c>
      <c r="B541" s="2">
        <v>44958</v>
      </c>
      <c r="C541">
        <v>-154</v>
      </c>
    </row>
    <row r="542" spans="1:3" x14ac:dyDescent="0.25">
      <c r="A542" t="s">
        <v>3</v>
      </c>
      <c r="B542" s="2">
        <v>44958</v>
      </c>
      <c r="C542">
        <v>7392</v>
      </c>
    </row>
    <row r="543" spans="1:3" x14ac:dyDescent="0.25">
      <c r="A543" t="s">
        <v>3</v>
      </c>
      <c r="B543" s="2">
        <v>44986</v>
      </c>
      <c r="C543">
        <v>1525328</v>
      </c>
    </row>
    <row r="544" spans="1:3" x14ac:dyDescent="0.25">
      <c r="A544" t="s">
        <v>4</v>
      </c>
      <c r="B544" s="2">
        <v>44986</v>
      </c>
      <c r="C544">
        <v>-4485</v>
      </c>
    </row>
    <row r="545" spans="1:3" x14ac:dyDescent="0.25">
      <c r="A545" t="s">
        <v>5</v>
      </c>
      <c r="B545" s="2">
        <v>44986</v>
      </c>
      <c r="C545">
        <v>1233020</v>
      </c>
    </row>
    <row r="546" spans="1:3" x14ac:dyDescent="0.25">
      <c r="A546" t="s">
        <v>3</v>
      </c>
      <c r="B546" s="2">
        <v>45017</v>
      </c>
      <c r="C546">
        <v>11197303</v>
      </c>
    </row>
    <row r="547" spans="1:3" x14ac:dyDescent="0.25">
      <c r="A547" t="s">
        <v>5</v>
      </c>
      <c r="B547" s="2">
        <v>45017</v>
      </c>
      <c r="C547">
        <v>1581398</v>
      </c>
    </row>
    <row r="548" spans="1:3" x14ac:dyDescent="0.25">
      <c r="A548" t="s">
        <v>4</v>
      </c>
      <c r="B548" s="2">
        <v>45017</v>
      </c>
      <c r="C548">
        <v>0</v>
      </c>
    </row>
    <row r="549" spans="1:3" x14ac:dyDescent="0.25">
      <c r="A549" t="s">
        <v>4</v>
      </c>
      <c r="B549" s="2">
        <v>45047</v>
      </c>
      <c r="C549">
        <v>-6512</v>
      </c>
    </row>
    <row r="550" spans="1:3" x14ac:dyDescent="0.25">
      <c r="A550" t="s">
        <v>5</v>
      </c>
      <c r="B550" s="2">
        <v>45047</v>
      </c>
      <c r="C550">
        <v>1762261</v>
      </c>
    </row>
    <row r="551" spans="1:3" x14ac:dyDescent="0.25">
      <c r="A551" t="s">
        <v>3</v>
      </c>
      <c r="B551" s="2">
        <v>45047</v>
      </c>
      <c r="C551">
        <v>4036735</v>
      </c>
    </row>
    <row r="552" spans="1:3" x14ac:dyDescent="0.25">
      <c r="A552" t="s">
        <v>4</v>
      </c>
      <c r="B552" s="2">
        <v>45078</v>
      </c>
      <c r="C552">
        <v>-76035</v>
      </c>
    </row>
    <row r="553" spans="1:3" x14ac:dyDescent="0.25">
      <c r="A553" t="s">
        <v>3</v>
      </c>
      <c r="B553" s="2">
        <v>45078</v>
      </c>
      <c r="C553">
        <v>4660390</v>
      </c>
    </row>
    <row r="554" spans="1:3" x14ac:dyDescent="0.25">
      <c r="A554" t="s">
        <v>5</v>
      </c>
      <c r="B554" s="2">
        <v>45078</v>
      </c>
      <c r="C554">
        <v>1616619</v>
      </c>
    </row>
    <row r="555" spans="1:3" x14ac:dyDescent="0.25">
      <c r="A555" t="s">
        <v>4</v>
      </c>
      <c r="B555" s="2">
        <v>45108</v>
      </c>
      <c r="C555">
        <v>14222303</v>
      </c>
    </row>
    <row r="556" spans="1:3" x14ac:dyDescent="0.25">
      <c r="A556" t="s">
        <v>5</v>
      </c>
      <c r="B556" s="2">
        <v>45108</v>
      </c>
      <c r="C556">
        <v>1551478</v>
      </c>
    </row>
    <row r="557" spans="1:3" x14ac:dyDescent="0.25">
      <c r="A557" t="s">
        <v>5</v>
      </c>
      <c r="B557" s="2">
        <v>45139</v>
      </c>
      <c r="C557">
        <v>125548</v>
      </c>
    </row>
    <row r="558" spans="1:3" x14ac:dyDescent="0.25">
      <c r="A558" t="s">
        <v>3</v>
      </c>
      <c r="B558" s="2">
        <v>45139</v>
      </c>
      <c r="C558">
        <v>0</v>
      </c>
    </row>
    <row r="559" spans="1:3" x14ac:dyDescent="0.25">
      <c r="A559" t="s">
        <v>4</v>
      </c>
      <c r="B559" s="2">
        <v>45139</v>
      </c>
      <c r="C559">
        <v>-5035</v>
      </c>
    </row>
  </sheetData>
  <autoFilter ref="A1:C559" xr:uid="{00000000-0009-0000-0000-000001000000}">
    <sortState xmlns:xlrd2="http://schemas.microsoft.com/office/spreadsheetml/2017/richdata2" ref="A2:C559">
      <sortCondition ref="B2:B5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5"/>
  <sheetViews>
    <sheetView workbookViewId="0">
      <selection activeCell="A4" sqref="A4"/>
    </sheetView>
  </sheetViews>
  <sheetFormatPr defaultRowHeight="15" x14ac:dyDescent="0.25"/>
  <cols>
    <col min="1" max="1" width="14.42578125" bestFit="1" customWidth="1"/>
    <col min="2" max="2" width="19.57031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s="2">
        <v>36526</v>
      </c>
      <c r="B2">
        <v>121670</v>
      </c>
    </row>
    <row r="3" spans="1:2" x14ac:dyDescent="0.25">
      <c r="A3" s="2">
        <v>36557</v>
      </c>
      <c r="B3">
        <v>0</v>
      </c>
    </row>
    <row r="4" spans="1:2" x14ac:dyDescent="0.25">
      <c r="A4" s="2">
        <v>36586</v>
      </c>
      <c r="B4">
        <v>0</v>
      </c>
    </row>
    <row r="5" spans="1:2" x14ac:dyDescent="0.25">
      <c r="A5" s="2">
        <v>36617</v>
      </c>
      <c r="B5">
        <v>1630925</v>
      </c>
    </row>
    <row r="6" spans="1:2" x14ac:dyDescent="0.25">
      <c r="A6" s="2">
        <v>36647</v>
      </c>
      <c r="B6">
        <v>12343071</v>
      </c>
    </row>
    <row r="7" spans="1:2" x14ac:dyDescent="0.25">
      <c r="A7" s="2">
        <v>36678</v>
      </c>
      <c r="B7">
        <v>10396080</v>
      </c>
    </row>
    <row r="8" spans="1:2" x14ac:dyDescent="0.25">
      <c r="A8" s="2">
        <v>36708</v>
      </c>
      <c r="B8">
        <v>5174232</v>
      </c>
    </row>
    <row r="9" spans="1:2" x14ac:dyDescent="0.25">
      <c r="A9" s="2">
        <v>36739</v>
      </c>
      <c r="B9">
        <v>3260662</v>
      </c>
    </row>
    <row r="10" spans="1:2" x14ac:dyDescent="0.25">
      <c r="A10" s="2">
        <v>36770</v>
      </c>
      <c r="B10">
        <v>26015</v>
      </c>
    </row>
    <row r="11" spans="1:2" x14ac:dyDescent="0.25">
      <c r="A11" s="2">
        <v>36800</v>
      </c>
      <c r="B11">
        <v>182739</v>
      </c>
    </row>
    <row r="12" spans="1:2" x14ac:dyDescent="0.25">
      <c r="A12" s="2">
        <v>36831</v>
      </c>
      <c r="B12">
        <v>0</v>
      </c>
    </row>
    <row r="13" spans="1:2" x14ac:dyDescent="0.25">
      <c r="A13" s="2">
        <v>36861</v>
      </c>
      <c r="B13">
        <v>10317340</v>
      </c>
    </row>
    <row r="14" spans="1:2" x14ac:dyDescent="0.25">
      <c r="A14" s="2">
        <v>36892</v>
      </c>
      <c r="B14">
        <v>187630</v>
      </c>
    </row>
    <row r="15" spans="1:2" x14ac:dyDescent="0.25">
      <c r="A15" s="2">
        <v>36923</v>
      </c>
      <c r="B15">
        <v>115640</v>
      </c>
    </row>
    <row r="16" spans="1:2" x14ac:dyDescent="0.25">
      <c r="A16" s="2">
        <v>36951</v>
      </c>
      <c r="B16">
        <v>2033805</v>
      </c>
    </row>
    <row r="17" spans="1:2" x14ac:dyDescent="0.25">
      <c r="A17" s="2">
        <v>36982</v>
      </c>
      <c r="B17">
        <v>2679394</v>
      </c>
    </row>
    <row r="18" spans="1:2" x14ac:dyDescent="0.25">
      <c r="A18" s="2">
        <v>37012</v>
      </c>
      <c r="B18">
        <v>10585486</v>
      </c>
    </row>
    <row r="19" spans="1:2" x14ac:dyDescent="0.25">
      <c r="A19" s="2">
        <v>37043</v>
      </c>
      <c r="B19">
        <v>6982546</v>
      </c>
    </row>
    <row r="20" spans="1:2" x14ac:dyDescent="0.25">
      <c r="A20" s="2">
        <v>37073</v>
      </c>
      <c r="B20">
        <v>9695330</v>
      </c>
    </row>
    <row r="21" spans="1:2" x14ac:dyDescent="0.25">
      <c r="A21" s="2">
        <v>37104</v>
      </c>
      <c r="B21">
        <v>14253564</v>
      </c>
    </row>
    <row r="22" spans="1:2" x14ac:dyDescent="0.25">
      <c r="A22" s="2">
        <v>37135</v>
      </c>
      <c r="B22">
        <v>3722336</v>
      </c>
    </row>
    <row r="23" spans="1:2" x14ac:dyDescent="0.25">
      <c r="A23" s="2">
        <v>37165</v>
      </c>
      <c r="B23">
        <v>68553</v>
      </c>
    </row>
    <row r="24" spans="1:2" x14ac:dyDescent="0.25">
      <c r="A24" s="2">
        <v>37196</v>
      </c>
      <c r="B24">
        <v>2954</v>
      </c>
    </row>
    <row r="25" spans="1:2" x14ac:dyDescent="0.25">
      <c r="A25" s="2">
        <v>37226</v>
      </c>
      <c r="B25">
        <v>5222585</v>
      </c>
    </row>
    <row r="26" spans="1:2" x14ac:dyDescent="0.25">
      <c r="A26" s="2">
        <v>37257</v>
      </c>
      <c r="B26">
        <v>8582638</v>
      </c>
    </row>
    <row r="27" spans="1:2" x14ac:dyDescent="0.25">
      <c r="A27" s="2">
        <v>37288</v>
      </c>
      <c r="B27">
        <v>6278114</v>
      </c>
    </row>
    <row r="28" spans="1:2" x14ac:dyDescent="0.25">
      <c r="A28" s="2">
        <v>37316</v>
      </c>
      <c r="B28">
        <v>2273313</v>
      </c>
    </row>
    <row r="29" spans="1:2" x14ac:dyDescent="0.25">
      <c r="A29" s="2">
        <v>37347</v>
      </c>
      <c r="B29">
        <v>7496329</v>
      </c>
    </row>
    <row r="30" spans="1:2" x14ac:dyDescent="0.25">
      <c r="A30" s="2">
        <v>37377</v>
      </c>
      <c r="B30">
        <v>25271074</v>
      </c>
    </row>
    <row r="31" spans="1:2" x14ac:dyDescent="0.25">
      <c r="A31" s="2">
        <v>37408</v>
      </c>
      <c r="B31">
        <v>24675022</v>
      </c>
    </row>
    <row r="32" spans="1:2" x14ac:dyDescent="0.25">
      <c r="A32" s="2">
        <v>37438</v>
      </c>
      <c r="B32">
        <v>20131998</v>
      </c>
    </row>
    <row r="33" spans="1:2" x14ac:dyDescent="0.25">
      <c r="A33" s="2">
        <v>37469</v>
      </c>
      <c r="B33">
        <v>15300577</v>
      </c>
    </row>
    <row r="34" spans="1:2" x14ac:dyDescent="0.25">
      <c r="A34" s="2">
        <v>37500</v>
      </c>
      <c r="B34">
        <v>1919411</v>
      </c>
    </row>
    <row r="35" spans="1:2" x14ac:dyDescent="0.25">
      <c r="A35" s="2">
        <v>37530</v>
      </c>
      <c r="B35">
        <v>11144954</v>
      </c>
    </row>
    <row r="36" spans="1:2" x14ac:dyDescent="0.25">
      <c r="A36" s="2">
        <v>37561</v>
      </c>
      <c r="B36">
        <v>90351</v>
      </c>
    </row>
    <row r="37" spans="1:2" x14ac:dyDescent="0.25">
      <c r="A37" s="2">
        <v>37591</v>
      </c>
      <c r="B37">
        <v>5649171</v>
      </c>
    </row>
    <row r="38" spans="1:2" x14ac:dyDescent="0.25">
      <c r="A38" s="2">
        <v>37622</v>
      </c>
      <c r="B38">
        <v>6283421</v>
      </c>
    </row>
    <row r="39" spans="1:2" x14ac:dyDescent="0.25">
      <c r="A39" s="2">
        <v>37653</v>
      </c>
      <c r="B39">
        <v>2525973</v>
      </c>
    </row>
    <row r="40" spans="1:2" x14ac:dyDescent="0.25">
      <c r="A40" s="2">
        <v>37681</v>
      </c>
      <c r="B40">
        <v>3671795</v>
      </c>
    </row>
    <row r="41" spans="1:2" x14ac:dyDescent="0.25">
      <c r="A41" s="2">
        <v>37712</v>
      </c>
      <c r="B41">
        <v>7352435</v>
      </c>
    </row>
    <row r="42" spans="1:2" x14ac:dyDescent="0.25">
      <c r="A42" s="2">
        <v>37742</v>
      </c>
      <c r="B42">
        <v>11266884</v>
      </c>
    </row>
    <row r="43" spans="1:2" x14ac:dyDescent="0.25">
      <c r="A43" s="2">
        <v>37773</v>
      </c>
      <c r="B43">
        <v>44196655</v>
      </c>
    </row>
    <row r="44" spans="1:2" x14ac:dyDescent="0.25">
      <c r="A44" s="2">
        <v>37803</v>
      </c>
      <c r="B44">
        <v>38329803</v>
      </c>
    </row>
    <row r="45" spans="1:2" x14ac:dyDescent="0.25">
      <c r="A45" s="2">
        <v>37834</v>
      </c>
      <c r="B45">
        <v>15768581</v>
      </c>
    </row>
    <row r="46" spans="1:2" x14ac:dyDescent="0.25">
      <c r="A46" s="2">
        <v>37865</v>
      </c>
      <c r="B46">
        <v>425474</v>
      </c>
    </row>
    <row r="47" spans="1:2" x14ac:dyDescent="0.25">
      <c r="A47" s="2">
        <v>37895</v>
      </c>
      <c r="B47">
        <v>2556536</v>
      </c>
    </row>
    <row r="48" spans="1:2" x14ac:dyDescent="0.25">
      <c r="A48" s="2">
        <v>37926</v>
      </c>
      <c r="B48">
        <v>775418</v>
      </c>
    </row>
    <row r="49" spans="1:2" x14ac:dyDescent="0.25">
      <c r="A49" s="2">
        <v>37956</v>
      </c>
      <c r="B49">
        <v>9097427</v>
      </c>
    </row>
    <row r="50" spans="1:2" x14ac:dyDescent="0.25">
      <c r="A50" s="2">
        <v>37987</v>
      </c>
      <c r="B50">
        <v>7647047</v>
      </c>
    </row>
    <row r="51" spans="1:2" x14ac:dyDescent="0.25">
      <c r="A51" s="2">
        <v>38018</v>
      </c>
      <c r="B51">
        <v>1831041</v>
      </c>
    </row>
    <row r="52" spans="1:2" x14ac:dyDescent="0.25">
      <c r="A52" s="2">
        <v>38047</v>
      </c>
      <c r="B52">
        <v>8039125</v>
      </c>
    </row>
    <row r="53" spans="1:2" x14ac:dyDescent="0.25">
      <c r="A53" s="2">
        <v>38078</v>
      </c>
      <c r="B53">
        <v>2775687</v>
      </c>
    </row>
    <row r="54" spans="1:2" x14ac:dyDescent="0.25">
      <c r="A54" s="2">
        <v>38108</v>
      </c>
      <c r="B54">
        <v>21819802</v>
      </c>
    </row>
    <row r="55" spans="1:2" x14ac:dyDescent="0.25">
      <c r="A55" s="2">
        <v>38139</v>
      </c>
      <c r="B55">
        <v>16505777</v>
      </c>
    </row>
    <row r="56" spans="1:2" x14ac:dyDescent="0.25">
      <c r="A56" s="2">
        <v>38169</v>
      </c>
      <c r="B56">
        <v>2388014</v>
      </c>
    </row>
    <row r="57" spans="1:2" x14ac:dyDescent="0.25">
      <c r="A57" s="2">
        <v>38200</v>
      </c>
      <c r="B57">
        <v>15054</v>
      </c>
    </row>
    <row r="58" spans="1:2" x14ac:dyDescent="0.25">
      <c r="A58" s="2">
        <v>38231</v>
      </c>
      <c r="B58">
        <v>1433750</v>
      </c>
    </row>
    <row r="59" spans="1:2" x14ac:dyDescent="0.25">
      <c r="A59" s="2">
        <v>38261</v>
      </c>
      <c r="B59">
        <v>0</v>
      </c>
    </row>
    <row r="60" spans="1:2" x14ac:dyDescent="0.25">
      <c r="A60" s="2">
        <v>38292</v>
      </c>
      <c r="B60">
        <v>1372518</v>
      </c>
    </row>
    <row r="61" spans="1:2" x14ac:dyDescent="0.25">
      <c r="A61" s="2">
        <v>38322</v>
      </c>
      <c r="B61">
        <v>5615917</v>
      </c>
    </row>
    <row r="62" spans="1:2" x14ac:dyDescent="0.25">
      <c r="A62" s="2">
        <v>38353</v>
      </c>
      <c r="B62">
        <v>92</v>
      </c>
    </row>
    <row r="63" spans="1:2" x14ac:dyDescent="0.25">
      <c r="A63" s="2">
        <v>38384</v>
      </c>
      <c r="B63">
        <v>2926780</v>
      </c>
    </row>
    <row r="64" spans="1:2" x14ac:dyDescent="0.25">
      <c r="A64" s="2">
        <v>38412</v>
      </c>
      <c r="B64">
        <v>564445</v>
      </c>
    </row>
    <row r="65" spans="1:2" x14ac:dyDescent="0.25">
      <c r="A65" s="2">
        <v>38443</v>
      </c>
      <c r="B65">
        <v>2916195</v>
      </c>
    </row>
    <row r="66" spans="1:2" x14ac:dyDescent="0.25">
      <c r="A66" s="2">
        <v>38473</v>
      </c>
      <c r="B66">
        <v>888769</v>
      </c>
    </row>
    <row r="67" spans="1:2" x14ac:dyDescent="0.25">
      <c r="A67" s="2">
        <v>38504</v>
      </c>
      <c r="B67">
        <v>22464156</v>
      </c>
    </row>
    <row r="68" spans="1:2" x14ac:dyDescent="0.25">
      <c r="A68" s="2">
        <v>38534</v>
      </c>
      <c r="B68">
        <v>5623114</v>
      </c>
    </row>
    <row r="69" spans="1:2" x14ac:dyDescent="0.25">
      <c r="A69" s="2">
        <v>38565</v>
      </c>
      <c r="B69">
        <v>0</v>
      </c>
    </row>
    <row r="70" spans="1:2" x14ac:dyDescent="0.25">
      <c r="A70" s="2">
        <v>38596</v>
      </c>
      <c r="B70">
        <v>991424</v>
      </c>
    </row>
    <row r="71" spans="1:2" x14ac:dyDescent="0.25">
      <c r="A71" s="2">
        <v>38626</v>
      </c>
      <c r="B71">
        <v>239448</v>
      </c>
    </row>
    <row r="72" spans="1:2" x14ac:dyDescent="0.25">
      <c r="A72" s="2">
        <v>38657</v>
      </c>
      <c r="B72">
        <v>969248</v>
      </c>
    </row>
    <row r="73" spans="1:2" x14ac:dyDescent="0.25">
      <c r="A73" s="2">
        <v>38687</v>
      </c>
      <c r="B73">
        <v>2659067</v>
      </c>
    </row>
    <row r="74" spans="1:2" x14ac:dyDescent="0.25">
      <c r="A74" s="2">
        <v>38718</v>
      </c>
      <c r="B74">
        <v>4939867</v>
      </c>
    </row>
    <row r="75" spans="1:2" x14ac:dyDescent="0.25">
      <c r="A75" s="2">
        <v>38749</v>
      </c>
      <c r="B75">
        <v>3186817</v>
      </c>
    </row>
    <row r="76" spans="1:2" x14ac:dyDescent="0.25">
      <c r="A76" s="2">
        <v>38777</v>
      </c>
      <c r="B76">
        <v>3401741</v>
      </c>
    </row>
    <row r="77" spans="1:2" x14ac:dyDescent="0.25">
      <c r="A77" s="2">
        <v>38808</v>
      </c>
      <c r="B77">
        <v>11901968</v>
      </c>
    </row>
    <row r="78" spans="1:2" x14ac:dyDescent="0.25">
      <c r="A78" s="2">
        <v>38838</v>
      </c>
      <c r="B78">
        <v>2684520</v>
      </c>
    </row>
    <row r="79" spans="1:2" x14ac:dyDescent="0.25">
      <c r="A79" s="2">
        <v>38869</v>
      </c>
      <c r="B79">
        <v>4594261</v>
      </c>
    </row>
    <row r="80" spans="1:2" x14ac:dyDescent="0.25">
      <c r="A80" s="2">
        <v>38899</v>
      </c>
      <c r="B80">
        <v>14581</v>
      </c>
    </row>
    <row r="81" spans="1:2" x14ac:dyDescent="0.25">
      <c r="A81" s="2">
        <v>38930</v>
      </c>
      <c r="B81">
        <v>41382</v>
      </c>
    </row>
    <row r="82" spans="1:2" x14ac:dyDescent="0.25">
      <c r="A82" s="2">
        <v>38961</v>
      </c>
      <c r="B82">
        <v>32794</v>
      </c>
    </row>
    <row r="83" spans="1:2" x14ac:dyDescent="0.25">
      <c r="A83" s="2">
        <v>38991</v>
      </c>
      <c r="B83">
        <v>930008</v>
      </c>
    </row>
    <row r="84" spans="1:2" x14ac:dyDescent="0.25">
      <c r="A84" s="2">
        <v>39022</v>
      </c>
      <c r="B84">
        <v>2160573</v>
      </c>
    </row>
    <row r="85" spans="1:2" x14ac:dyDescent="0.25">
      <c r="A85" s="2">
        <v>39052</v>
      </c>
      <c r="B85">
        <v>2730143</v>
      </c>
    </row>
    <row r="86" spans="1:2" x14ac:dyDescent="0.25">
      <c r="A86" s="2">
        <v>39083</v>
      </c>
      <c r="B86">
        <v>61857</v>
      </c>
    </row>
    <row r="87" spans="1:2" x14ac:dyDescent="0.25">
      <c r="A87" s="2">
        <v>39114</v>
      </c>
      <c r="B87">
        <v>89413</v>
      </c>
    </row>
    <row r="88" spans="1:2" x14ac:dyDescent="0.25">
      <c r="A88" s="2">
        <v>39142</v>
      </c>
      <c r="B88">
        <v>631253</v>
      </c>
    </row>
    <row r="89" spans="1:2" x14ac:dyDescent="0.25">
      <c r="A89" s="2">
        <v>39173</v>
      </c>
      <c r="B89">
        <v>219872</v>
      </c>
    </row>
    <row r="90" spans="1:2" x14ac:dyDescent="0.25">
      <c r="A90" s="2">
        <v>39203</v>
      </c>
      <c r="B90">
        <v>14948644</v>
      </c>
    </row>
    <row r="91" spans="1:2" x14ac:dyDescent="0.25">
      <c r="A91" s="2">
        <v>39234</v>
      </c>
      <c r="B91">
        <v>6526977</v>
      </c>
    </row>
    <row r="92" spans="1:2" x14ac:dyDescent="0.25">
      <c r="A92" s="2">
        <v>39264</v>
      </c>
      <c r="B92">
        <v>333343</v>
      </c>
    </row>
    <row r="93" spans="1:2" x14ac:dyDescent="0.25">
      <c r="A93" s="2">
        <v>39295</v>
      </c>
      <c r="B93">
        <v>201384</v>
      </c>
    </row>
    <row r="94" spans="1:2" x14ac:dyDescent="0.25">
      <c r="A94" s="2">
        <v>39326</v>
      </c>
      <c r="B94">
        <v>187317</v>
      </c>
    </row>
    <row r="95" spans="1:2" x14ac:dyDescent="0.25">
      <c r="A95" s="2">
        <v>39356</v>
      </c>
      <c r="B95">
        <v>1283194</v>
      </c>
    </row>
    <row r="96" spans="1:2" x14ac:dyDescent="0.25">
      <c r="A96" s="2">
        <v>39387</v>
      </c>
      <c r="B96">
        <v>657423</v>
      </c>
    </row>
    <row r="97" spans="1:2" x14ac:dyDescent="0.25">
      <c r="A97" s="2">
        <v>39417</v>
      </c>
      <c r="B97">
        <v>8585924</v>
      </c>
    </row>
    <row r="98" spans="1:2" x14ac:dyDescent="0.25">
      <c r="A98" s="2">
        <v>39448</v>
      </c>
      <c r="B98">
        <v>185454</v>
      </c>
    </row>
    <row r="99" spans="1:2" x14ac:dyDescent="0.25">
      <c r="A99" s="2">
        <v>39479</v>
      </c>
      <c r="B99">
        <v>329021</v>
      </c>
    </row>
    <row r="100" spans="1:2" x14ac:dyDescent="0.25">
      <c r="A100" s="2">
        <v>39508</v>
      </c>
      <c r="B100">
        <v>1192921</v>
      </c>
    </row>
    <row r="101" spans="1:2" x14ac:dyDescent="0.25">
      <c r="A101" s="2">
        <v>39539</v>
      </c>
      <c r="B101">
        <v>581849</v>
      </c>
    </row>
    <row r="102" spans="1:2" x14ac:dyDescent="0.25">
      <c r="A102" s="2">
        <v>39569</v>
      </c>
      <c r="B102">
        <v>21416280</v>
      </c>
    </row>
    <row r="103" spans="1:2" x14ac:dyDescent="0.25">
      <c r="A103" s="2">
        <v>39600</v>
      </c>
      <c r="B103">
        <v>1838064</v>
      </c>
    </row>
    <row r="104" spans="1:2" x14ac:dyDescent="0.25">
      <c r="A104" s="2">
        <v>39630</v>
      </c>
      <c r="B104">
        <v>5630489</v>
      </c>
    </row>
    <row r="105" spans="1:2" x14ac:dyDescent="0.25">
      <c r="A105" s="2">
        <v>39661</v>
      </c>
      <c r="B105">
        <v>314436</v>
      </c>
    </row>
    <row r="106" spans="1:2" x14ac:dyDescent="0.25">
      <c r="A106" s="2">
        <v>39692</v>
      </c>
      <c r="B106">
        <v>2777577</v>
      </c>
    </row>
    <row r="107" spans="1:2" x14ac:dyDescent="0.25">
      <c r="A107" s="2">
        <v>39722</v>
      </c>
      <c r="B107">
        <v>6321081</v>
      </c>
    </row>
    <row r="108" spans="1:2" x14ac:dyDescent="0.25">
      <c r="A108" s="2">
        <v>39753</v>
      </c>
      <c r="B108">
        <v>492718</v>
      </c>
    </row>
    <row r="109" spans="1:2" x14ac:dyDescent="0.25">
      <c r="A109" s="2">
        <v>39783</v>
      </c>
      <c r="B109">
        <v>2004777</v>
      </c>
    </row>
    <row r="110" spans="1:2" x14ac:dyDescent="0.25">
      <c r="A110" s="2">
        <v>39814</v>
      </c>
      <c r="B110">
        <v>2306982</v>
      </c>
    </row>
    <row r="111" spans="1:2" x14ac:dyDescent="0.25">
      <c r="A111" s="2">
        <v>39845</v>
      </c>
      <c r="B111">
        <v>1092647</v>
      </c>
    </row>
    <row r="112" spans="1:2" x14ac:dyDescent="0.25">
      <c r="A112" s="2">
        <v>39873</v>
      </c>
      <c r="B112">
        <v>54278</v>
      </c>
    </row>
    <row r="113" spans="1:2" x14ac:dyDescent="0.25">
      <c r="A113" s="2">
        <v>39904</v>
      </c>
      <c r="B113">
        <v>6350933</v>
      </c>
    </row>
    <row r="114" spans="1:2" x14ac:dyDescent="0.25">
      <c r="A114" s="2">
        <v>39934</v>
      </c>
      <c r="B114">
        <v>11049422</v>
      </c>
    </row>
    <row r="115" spans="1:2" x14ac:dyDescent="0.25">
      <c r="A115" s="2">
        <v>39965</v>
      </c>
      <c r="B115">
        <v>5935683</v>
      </c>
    </row>
    <row r="116" spans="1:2" x14ac:dyDescent="0.25">
      <c r="A116" s="2">
        <v>39995</v>
      </c>
      <c r="B116">
        <v>5041877</v>
      </c>
    </row>
    <row r="117" spans="1:2" x14ac:dyDescent="0.25">
      <c r="A117" s="2">
        <v>40026</v>
      </c>
      <c r="B117">
        <v>1669380</v>
      </c>
    </row>
    <row r="118" spans="1:2" x14ac:dyDescent="0.25">
      <c r="A118" s="2">
        <v>40057</v>
      </c>
      <c r="B118">
        <v>453597</v>
      </c>
    </row>
    <row r="119" spans="1:2" x14ac:dyDescent="0.25">
      <c r="A119" s="2">
        <v>40087</v>
      </c>
      <c r="B119">
        <v>1445908</v>
      </c>
    </row>
    <row r="120" spans="1:2" x14ac:dyDescent="0.25">
      <c r="A120" s="2">
        <v>40118</v>
      </c>
      <c r="B120">
        <v>551455</v>
      </c>
    </row>
    <row r="121" spans="1:2" x14ac:dyDescent="0.25">
      <c r="A121" s="2">
        <v>40148</v>
      </c>
      <c r="B121">
        <v>1514169</v>
      </c>
    </row>
    <row r="122" spans="1:2" x14ac:dyDescent="0.25">
      <c r="A122" s="2">
        <v>40179</v>
      </c>
      <c r="B122">
        <v>3316210</v>
      </c>
    </row>
    <row r="123" spans="1:2" x14ac:dyDescent="0.25">
      <c r="A123" s="2">
        <v>40210</v>
      </c>
      <c r="B123">
        <v>6376900</v>
      </c>
    </row>
    <row r="124" spans="1:2" x14ac:dyDescent="0.25">
      <c r="A124" s="2">
        <v>40238</v>
      </c>
      <c r="B124">
        <v>2700390</v>
      </c>
    </row>
    <row r="125" spans="1:2" x14ac:dyDescent="0.25">
      <c r="A125" s="2">
        <v>40269</v>
      </c>
      <c r="B125">
        <v>277787</v>
      </c>
    </row>
    <row r="126" spans="1:2" x14ac:dyDescent="0.25">
      <c r="A126" s="2">
        <v>40299</v>
      </c>
      <c r="B126">
        <v>4051967</v>
      </c>
    </row>
    <row r="127" spans="1:2" x14ac:dyDescent="0.25">
      <c r="A127" s="2">
        <v>40330</v>
      </c>
      <c r="B127">
        <v>6457441</v>
      </c>
    </row>
    <row r="128" spans="1:2" x14ac:dyDescent="0.25">
      <c r="A128" s="2">
        <v>40360</v>
      </c>
      <c r="B128">
        <v>4421160</v>
      </c>
    </row>
    <row r="129" spans="1:2" x14ac:dyDescent="0.25">
      <c r="A129" s="2">
        <v>40391</v>
      </c>
      <c r="B129">
        <v>4896836</v>
      </c>
    </row>
    <row r="130" spans="1:2" x14ac:dyDescent="0.25">
      <c r="A130" s="2">
        <v>40422</v>
      </c>
      <c r="B130">
        <v>6891583</v>
      </c>
    </row>
    <row r="131" spans="1:2" x14ac:dyDescent="0.25">
      <c r="A131" s="2">
        <v>40452</v>
      </c>
      <c r="B131">
        <v>641039</v>
      </c>
    </row>
    <row r="132" spans="1:2" x14ac:dyDescent="0.25">
      <c r="A132" s="2">
        <v>40483</v>
      </c>
      <c r="B132">
        <v>19700</v>
      </c>
    </row>
    <row r="133" spans="1:2" x14ac:dyDescent="0.25">
      <c r="A133" s="2">
        <v>40513</v>
      </c>
      <c r="B133">
        <v>4445865</v>
      </c>
    </row>
    <row r="134" spans="1:2" x14ac:dyDescent="0.25">
      <c r="A134" s="2">
        <v>40544</v>
      </c>
      <c r="B134">
        <v>6581480</v>
      </c>
    </row>
    <row r="135" spans="1:2" x14ac:dyDescent="0.25">
      <c r="A135" s="2">
        <v>40575</v>
      </c>
      <c r="B135">
        <v>7408146</v>
      </c>
    </row>
    <row r="136" spans="1:2" x14ac:dyDescent="0.25">
      <c r="A136" s="2">
        <v>40603</v>
      </c>
      <c r="B136">
        <v>4942909</v>
      </c>
    </row>
    <row r="137" spans="1:2" x14ac:dyDescent="0.25">
      <c r="A137" s="2">
        <v>40634</v>
      </c>
      <c r="B137">
        <v>8091318</v>
      </c>
    </row>
    <row r="138" spans="1:2" x14ac:dyDescent="0.25">
      <c r="A138" s="2">
        <v>40664</v>
      </c>
      <c r="B138">
        <v>16718821</v>
      </c>
    </row>
    <row r="139" spans="1:2" x14ac:dyDescent="0.25">
      <c r="A139" s="2">
        <v>40695</v>
      </c>
      <c r="B139">
        <v>11575764</v>
      </c>
    </row>
    <row r="140" spans="1:2" x14ac:dyDescent="0.25">
      <c r="A140" s="2">
        <v>40725</v>
      </c>
      <c r="B140">
        <v>7597394</v>
      </c>
    </row>
    <row r="141" spans="1:2" x14ac:dyDescent="0.25">
      <c r="A141" s="2">
        <v>40756</v>
      </c>
      <c r="B141">
        <v>998907</v>
      </c>
    </row>
    <row r="142" spans="1:2" x14ac:dyDescent="0.25">
      <c r="A142" s="2">
        <v>40787</v>
      </c>
      <c r="B142">
        <v>232569</v>
      </c>
    </row>
    <row r="143" spans="1:2" x14ac:dyDescent="0.25">
      <c r="A143" s="2">
        <v>40817</v>
      </c>
      <c r="B143">
        <v>458897</v>
      </c>
    </row>
    <row r="144" spans="1:2" x14ac:dyDescent="0.25">
      <c r="A144" s="2">
        <v>40848</v>
      </c>
      <c r="B144">
        <v>5007070</v>
      </c>
    </row>
    <row r="145" spans="1:2" x14ac:dyDescent="0.25">
      <c r="A145" s="2">
        <v>40878</v>
      </c>
      <c r="B145">
        <v>6093828</v>
      </c>
    </row>
    <row r="146" spans="1:2" x14ac:dyDescent="0.25">
      <c r="A146" s="2">
        <v>40909</v>
      </c>
      <c r="B146">
        <v>3194663</v>
      </c>
    </row>
    <row r="147" spans="1:2" x14ac:dyDescent="0.25">
      <c r="A147" s="2">
        <v>40940</v>
      </c>
      <c r="B147">
        <v>3182927</v>
      </c>
    </row>
    <row r="148" spans="1:2" x14ac:dyDescent="0.25">
      <c r="A148" s="2">
        <v>40969</v>
      </c>
      <c r="B148">
        <v>320007</v>
      </c>
    </row>
    <row r="149" spans="1:2" x14ac:dyDescent="0.25">
      <c r="A149" s="2">
        <v>41000</v>
      </c>
      <c r="B149">
        <v>3833273</v>
      </c>
    </row>
    <row r="150" spans="1:2" x14ac:dyDescent="0.25">
      <c r="A150" s="2">
        <v>41030</v>
      </c>
      <c r="B150">
        <v>91530</v>
      </c>
    </row>
    <row r="151" spans="1:2" x14ac:dyDescent="0.25">
      <c r="A151" s="2">
        <v>41061</v>
      </c>
      <c r="B151">
        <v>1283500</v>
      </c>
    </row>
    <row r="152" spans="1:2" x14ac:dyDescent="0.25">
      <c r="A152" s="2">
        <v>41091</v>
      </c>
      <c r="B152">
        <v>2154627</v>
      </c>
    </row>
    <row r="153" spans="1:2" x14ac:dyDescent="0.25">
      <c r="A153" s="2">
        <v>41122</v>
      </c>
      <c r="B153">
        <v>234266</v>
      </c>
    </row>
    <row r="154" spans="1:2" x14ac:dyDescent="0.25">
      <c r="A154" s="2">
        <v>41153</v>
      </c>
      <c r="B154">
        <v>1193193</v>
      </c>
    </row>
    <row r="155" spans="1:2" x14ac:dyDescent="0.25">
      <c r="A155" s="2">
        <v>41183</v>
      </c>
      <c r="B155">
        <v>12996328</v>
      </c>
    </row>
    <row r="156" spans="1:2" x14ac:dyDescent="0.25">
      <c r="A156" s="2">
        <v>41214</v>
      </c>
      <c r="B156">
        <v>12503571</v>
      </c>
    </row>
    <row r="157" spans="1:2" x14ac:dyDescent="0.25">
      <c r="A157" s="2">
        <v>41244</v>
      </c>
      <c r="B157">
        <v>15838073</v>
      </c>
    </row>
    <row r="158" spans="1:2" x14ac:dyDescent="0.25">
      <c r="A158" s="2">
        <v>41275</v>
      </c>
      <c r="B158">
        <v>48827</v>
      </c>
    </row>
    <row r="159" spans="1:2" x14ac:dyDescent="0.25">
      <c r="A159" s="2">
        <v>41306</v>
      </c>
      <c r="B159">
        <v>0</v>
      </c>
    </row>
    <row r="160" spans="1:2" x14ac:dyDescent="0.25">
      <c r="A160" s="2">
        <v>41334</v>
      </c>
      <c r="B160">
        <v>0</v>
      </c>
    </row>
    <row r="161" spans="1:2" x14ac:dyDescent="0.25">
      <c r="A161" s="2">
        <v>41365</v>
      </c>
      <c r="B161">
        <v>5311528</v>
      </c>
    </row>
    <row r="162" spans="1:2" x14ac:dyDescent="0.25">
      <c r="A162" s="2">
        <v>41395</v>
      </c>
      <c r="B162">
        <v>5045682</v>
      </c>
    </row>
    <row r="163" spans="1:2" x14ac:dyDescent="0.25">
      <c r="A163" s="2">
        <v>41426</v>
      </c>
      <c r="B163">
        <v>4927138</v>
      </c>
    </row>
    <row r="164" spans="1:2" x14ac:dyDescent="0.25">
      <c r="A164" s="2">
        <v>41456</v>
      </c>
      <c r="B164">
        <v>14604</v>
      </c>
    </row>
    <row r="165" spans="1:2" x14ac:dyDescent="0.25">
      <c r="A165" s="2">
        <v>41487</v>
      </c>
      <c r="B165">
        <v>1287308</v>
      </c>
    </row>
    <row r="166" spans="1:2" x14ac:dyDescent="0.25">
      <c r="A166" s="2">
        <v>41518</v>
      </c>
      <c r="B166">
        <v>24548</v>
      </c>
    </row>
    <row r="167" spans="1:2" x14ac:dyDescent="0.25">
      <c r="A167" s="2">
        <v>41548</v>
      </c>
      <c r="B167">
        <v>764611</v>
      </c>
    </row>
    <row r="168" spans="1:2" x14ac:dyDescent="0.25">
      <c r="A168" s="2">
        <v>41579</v>
      </c>
      <c r="B168">
        <v>639682</v>
      </c>
    </row>
    <row r="169" spans="1:2" x14ac:dyDescent="0.25">
      <c r="A169" s="2">
        <v>41609</v>
      </c>
      <c r="B169">
        <v>1362196</v>
      </c>
    </row>
    <row r="170" spans="1:2" x14ac:dyDescent="0.25">
      <c r="A170" s="2">
        <v>41640</v>
      </c>
      <c r="B170">
        <v>144403</v>
      </c>
    </row>
    <row r="171" spans="1:2" x14ac:dyDescent="0.25">
      <c r="A171" s="2">
        <v>41671</v>
      </c>
      <c r="B171">
        <v>684396</v>
      </c>
    </row>
    <row r="172" spans="1:2" x14ac:dyDescent="0.25">
      <c r="A172" s="2">
        <v>41699</v>
      </c>
      <c r="B172">
        <v>554239</v>
      </c>
    </row>
    <row r="173" spans="1:2" x14ac:dyDescent="0.25">
      <c r="A173" s="2">
        <v>41730</v>
      </c>
      <c r="B173">
        <v>4940450</v>
      </c>
    </row>
    <row r="174" spans="1:2" x14ac:dyDescent="0.25">
      <c r="A174" s="2">
        <v>41760</v>
      </c>
      <c r="B174">
        <v>4777666</v>
      </c>
    </row>
    <row r="175" spans="1:2" x14ac:dyDescent="0.25">
      <c r="A175" s="2">
        <v>41791</v>
      </c>
      <c r="B175">
        <v>7012154</v>
      </c>
    </row>
    <row r="176" spans="1:2" x14ac:dyDescent="0.25">
      <c r="A176" s="2">
        <v>41821</v>
      </c>
      <c r="B176">
        <v>342837</v>
      </c>
    </row>
    <row r="177" spans="1:2" x14ac:dyDescent="0.25">
      <c r="A177" s="2">
        <v>41852</v>
      </c>
      <c r="B177">
        <v>8489775</v>
      </c>
    </row>
    <row r="178" spans="1:2" x14ac:dyDescent="0.25">
      <c r="A178" s="2">
        <v>41883</v>
      </c>
      <c r="B178">
        <v>0</v>
      </c>
    </row>
    <row r="179" spans="1:2" x14ac:dyDescent="0.25">
      <c r="A179" s="2">
        <v>41913</v>
      </c>
      <c r="B179">
        <v>1805576</v>
      </c>
    </row>
    <row r="180" spans="1:2" x14ac:dyDescent="0.25">
      <c r="A180" s="2">
        <v>41944</v>
      </c>
      <c r="B180">
        <v>1188109</v>
      </c>
    </row>
    <row r="181" spans="1:2" x14ac:dyDescent="0.25">
      <c r="A181" s="2">
        <v>41974</v>
      </c>
      <c r="B181">
        <v>17993306</v>
      </c>
    </row>
    <row r="182" spans="1:2" x14ac:dyDescent="0.25">
      <c r="A182" s="2">
        <v>42005</v>
      </c>
      <c r="B182">
        <v>418578</v>
      </c>
    </row>
    <row r="183" spans="1:2" x14ac:dyDescent="0.25">
      <c r="A183" s="2">
        <v>42036</v>
      </c>
      <c r="B183">
        <v>208</v>
      </c>
    </row>
    <row r="184" spans="1:2" x14ac:dyDescent="0.25">
      <c r="A184" s="2">
        <v>42064</v>
      </c>
      <c r="B184">
        <v>72591</v>
      </c>
    </row>
    <row r="185" spans="1:2" x14ac:dyDescent="0.25">
      <c r="A185" s="2">
        <v>42095</v>
      </c>
      <c r="B185">
        <v>2629964</v>
      </c>
    </row>
    <row r="186" spans="1:2" x14ac:dyDescent="0.25">
      <c r="A186" s="2">
        <v>42125</v>
      </c>
      <c r="B186">
        <v>5998161</v>
      </c>
    </row>
    <row r="187" spans="1:2" x14ac:dyDescent="0.25">
      <c r="A187" s="2">
        <v>42156</v>
      </c>
      <c r="B187">
        <v>4900578</v>
      </c>
    </row>
    <row r="188" spans="1:2" x14ac:dyDescent="0.25">
      <c r="A188" s="2">
        <v>42186</v>
      </c>
      <c r="B188">
        <v>714152</v>
      </c>
    </row>
    <row r="189" spans="1:2" x14ac:dyDescent="0.25">
      <c r="A189" s="2">
        <v>42217</v>
      </c>
      <c r="B189">
        <v>4315525</v>
      </c>
    </row>
    <row r="190" spans="1:2" x14ac:dyDescent="0.25">
      <c r="A190" s="2">
        <v>42248</v>
      </c>
      <c r="B190">
        <v>2251955</v>
      </c>
    </row>
    <row r="191" spans="1:2" x14ac:dyDescent="0.25">
      <c r="A191" s="2">
        <v>42278</v>
      </c>
      <c r="B191">
        <v>894766</v>
      </c>
    </row>
    <row r="192" spans="1:2" x14ac:dyDescent="0.25">
      <c r="A192" s="2">
        <v>42309</v>
      </c>
      <c r="B192">
        <v>3516572</v>
      </c>
    </row>
    <row r="193" spans="1:2" x14ac:dyDescent="0.25">
      <c r="A193" s="2">
        <v>42339</v>
      </c>
      <c r="B193">
        <v>4148736</v>
      </c>
    </row>
    <row r="194" spans="1:2" x14ac:dyDescent="0.25">
      <c r="A194" s="2">
        <v>42370</v>
      </c>
      <c r="B194">
        <v>1733762</v>
      </c>
    </row>
    <row r="195" spans="1:2" x14ac:dyDescent="0.25">
      <c r="A195" s="2">
        <v>42401</v>
      </c>
      <c r="B195">
        <v>4772471</v>
      </c>
    </row>
    <row r="196" spans="1:2" x14ac:dyDescent="0.25">
      <c r="A196" s="2">
        <v>42430</v>
      </c>
      <c r="B196">
        <v>624470</v>
      </c>
    </row>
    <row r="197" spans="1:2" x14ac:dyDescent="0.25">
      <c r="A197" s="2">
        <v>42461</v>
      </c>
      <c r="B197">
        <v>8990717</v>
      </c>
    </row>
    <row r="198" spans="1:2" x14ac:dyDescent="0.25">
      <c r="A198" s="2">
        <v>42491</v>
      </c>
      <c r="B198">
        <v>1883099</v>
      </c>
    </row>
    <row r="199" spans="1:2" x14ac:dyDescent="0.25">
      <c r="A199" s="2">
        <v>42522</v>
      </c>
      <c r="B199">
        <v>15948714</v>
      </c>
    </row>
    <row r="200" spans="1:2" x14ac:dyDescent="0.25">
      <c r="A200" s="2">
        <v>42552</v>
      </c>
      <c r="B200">
        <v>9188216</v>
      </c>
    </row>
    <row r="201" spans="1:2" x14ac:dyDescent="0.25">
      <c r="A201" s="2">
        <v>42583</v>
      </c>
      <c r="B201">
        <v>663874</v>
      </c>
    </row>
    <row r="202" spans="1:2" x14ac:dyDescent="0.25">
      <c r="A202" s="2">
        <v>42614</v>
      </c>
      <c r="B202">
        <v>1163677</v>
      </c>
    </row>
    <row r="203" spans="1:2" x14ac:dyDescent="0.25">
      <c r="A203" s="2">
        <v>42644</v>
      </c>
      <c r="B203">
        <v>955826</v>
      </c>
    </row>
    <row r="204" spans="1:2" x14ac:dyDescent="0.25">
      <c r="A204" s="2">
        <v>42675</v>
      </c>
      <c r="B204">
        <v>315208</v>
      </c>
    </row>
    <row r="205" spans="1:2" x14ac:dyDescent="0.25">
      <c r="A205" s="2">
        <v>42705</v>
      </c>
      <c r="B205">
        <v>22433983</v>
      </c>
    </row>
    <row r="206" spans="1:2" x14ac:dyDescent="0.25">
      <c r="A206" s="2">
        <v>42736</v>
      </c>
      <c r="B206">
        <v>5893994</v>
      </c>
    </row>
    <row r="207" spans="1:2" x14ac:dyDescent="0.25">
      <c r="A207" s="2">
        <v>42767</v>
      </c>
      <c r="B207">
        <v>3371738</v>
      </c>
    </row>
    <row r="208" spans="1:2" x14ac:dyDescent="0.25">
      <c r="A208" s="2">
        <v>42795</v>
      </c>
      <c r="B208">
        <v>2958318</v>
      </c>
    </row>
    <row r="209" spans="1:2" x14ac:dyDescent="0.25">
      <c r="A209" s="2">
        <v>42826</v>
      </c>
      <c r="B209">
        <v>8619259</v>
      </c>
    </row>
    <row r="210" spans="1:2" x14ac:dyDescent="0.25">
      <c r="A210" s="2">
        <v>42856</v>
      </c>
      <c r="B210">
        <v>564397</v>
      </c>
    </row>
    <row r="211" spans="1:2" x14ac:dyDescent="0.25">
      <c r="A211" s="2">
        <v>42887</v>
      </c>
      <c r="B211">
        <v>10529953</v>
      </c>
    </row>
    <row r="212" spans="1:2" x14ac:dyDescent="0.25">
      <c r="A212" s="2">
        <v>42917</v>
      </c>
      <c r="B212">
        <v>8170090</v>
      </c>
    </row>
    <row r="213" spans="1:2" x14ac:dyDescent="0.25">
      <c r="A213" s="2">
        <v>42948</v>
      </c>
      <c r="B213">
        <v>473076</v>
      </c>
    </row>
    <row r="214" spans="1:2" x14ac:dyDescent="0.25">
      <c r="A214" s="2">
        <v>42979</v>
      </c>
      <c r="B214">
        <v>632403</v>
      </c>
    </row>
    <row r="215" spans="1:2" x14ac:dyDescent="0.25">
      <c r="A215" s="2">
        <v>43009</v>
      </c>
      <c r="B215">
        <v>373665</v>
      </c>
    </row>
    <row r="216" spans="1:2" x14ac:dyDescent="0.25">
      <c r="A216" s="2">
        <v>43040</v>
      </c>
      <c r="B216">
        <v>2438440</v>
      </c>
    </row>
    <row r="217" spans="1:2" x14ac:dyDescent="0.25">
      <c r="A217" s="2">
        <v>43070</v>
      </c>
      <c r="B217">
        <v>11671488</v>
      </c>
    </row>
    <row r="218" spans="1:2" x14ac:dyDescent="0.25">
      <c r="A218" s="2">
        <v>43101</v>
      </c>
      <c r="B218">
        <v>3186624</v>
      </c>
    </row>
    <row r="219" spans="1:2" x14ac:dyDescent="0.25">
      <c r="A219" s="2">
        <v>43132</v>
      </c>
      <c r="B219">
        <v>500519</v>
      </c>
    </row>
    <row r="220" spans="1:2" x14ac:dyDescent="0.25">
      <c r="A220" s="2">
        <v>43160</v>
      </c>
      <c r="B220">
        <v>746365</v>
      </c>
    </row>
    <row r="221" spans="1:2" x14ac:dyDescent="0.25">
      <c r="A221" s="2">
        <v>43191</v>
      </c>
      <c r="B221">
        <v>21827955</v>
      </c>
    </row>
    <row r="222" spans="1:2" x14ac:dyDescent="0.25">
      <c r="A222" s="2">
        <v>43221</v>
      </c>
      <c r="B222">
        <v>10312860</v>
      </c>
    </row>
    <row r="223" spans="1:2" x14ac:dyDescent="0.25">
      <c r="A223" s="2">
        <v>43252</v>
      </c>
      <c r="B223">
        <v>7452629</v>
      </c>
    </row>
    <row r="224" spans="1:2" x14ac:dyDescent="0.25">
      <c r="A224" s="2">
        <v>43282</v>
      </c>
      <c r="B224">
        <v>3500983</v>
      </c>
    </row>
    <row r="225" spans="1:2" x14ac:dyDescent="0.25">
      <c r="A225" s="2">
        <v>43313</v>
      </c>
      <c r="B225">
        <v>2406216</v>
      </c>
    </row>
    <row r="226" spans="1:2" x14ac:dyDescent="0.25">
      <c r="A226" s="2">
        <v>43344</v>
      </c>
      <c r="B226">
        <v>5886206</v>
      </c>
    </row>
    <row r="227" spans="1:2" x14ac:dyDescent="0.25">
      <c r="A227" s="2">
        <v>43374</v>
      </c>
      <c r="B227">
        <v>5001506</v>
      </c>
    </row>
    <row r="228" spans="1:2" x14ac:dyDescent="0.25">
      <c r="A228" s="2">
        <v>43405</v>
      </c>
      <c r="B228">
        <v>11947720</v>
      </c>
    </row>
    <row r="229" spans="1:2" x14ac:dyDescent="0.25">
      <c r="A229" s="2">
        <v>43435</v>
      </c>
      <c r="B229">
        <v>28017522</v>
      </c>
    </row>
    <row r="230" spans="1:2" x14ac:dyDescent="0.25">
      <c r="A230" s="2">
        <v>43466</v>
      </c>
      <c r="B230">
        <v>2600036</v>
      </c>
    </row>
    <row r="231" spans="1:2" x14ac:dyDescent="0.25">
      <c r="A231" s="2">
        <v>43497</v>
      </c>
      <c r="B231">
        <v>1292975</v>
      </c>
    </row>
    <row r="232" spans="1:2" x14ac:dyDescent="0.25">
      <c r="A232" s="2">
        <v>43525</v>
      </c>
      <c r="B232">
        <v>15257508</v>
      </c>
    </row>
    <row r="233" spans="1:2" x14ac:dyDescent="0.25">
      <c r="A233" s="2">
        <v>43556</v>
      </c>
      <c r="B233">
        <v>690300</v>
      </c>
    </row>
    <row r="234" spans="1:2" x14ac:dyDescent="0.25">
      <c r="A234" s="2">
        <v>43586</v>
      </c>
      <c r="B234">
        <v>6435388</v>
      </c>
    </row>
    <row r="235" spans="1:2" x14ac:dyDescent="0.25">
      <c r="A235" s="2">
        <v>43617</v>
      </c>
      <c r="B235">
        <v>5606362</v>
      </c>
    </row>
    <row r="236" spans="1:2" x14ac:dyDescent="0.25">
      <c r="A236" s="2">
        <v>43647</v>
      </c>
      <c r="B236">
        <v>1529705</v>
      </c>
    </row>
    <row r="237" spans="1:2" x14ac:dyDescent="0.25">
      <c r="A237" s="2">
        <v>43678</v>
      </c>
      <c r="B237">
        <v>1211867</v>
      </c>
    </row>
    <row r="238" spans="1:2" x14ac:dyDescent="0.25">
      <c r="A238" s="2">
        <v>43709</v>
      </c>
      <c r="B238">
        <v>2777192</v>
      </c>
    </row>
    <row r="239" spans="1:2" x14ac:dyDescent="0.25">
      <c r="A239" s="2">
        <v>43739</v>
      </c>
      <c r="B239">
        <v>519642</v>
      </c>
    </row>
    <row r="240" spans="1:2" x14ac:dyDescent="0.25">
      <c r="A240" s="2">
        <v>43770</v>
      </c>
      <c r="B240">
        <v>3442509</v>
      </c>
    </row>
    <row r="241" spans="1:2" x14ac:dyDescent="0.25">
      <c r="A241" s="2">
        <v>43800</v>
      </c>
      <c r="B241">
        <v>15229561</v>
      </c>
    </row>
    <row r="242" spans="1:2" x14ac:dyDescent="0.25">
      <c r="A242" s="2">
        <v>43831</v>
      </c>
      <c r="B242">
        <v>5162882</v>
      </c>
    </row>
    <row r="243" spans="1:2" x14ac:dyDescent="0.25">
      <c r="A243" s="2">
        <v>43862</v>
      </c>
      <c r="B243">
        <v>4707805</v>
      </c>
    </row>
    <row r="244" spans="1:2" x14ac:dyDescent="0.25">
      <c r="A244" s="2">
        <v>43891</v>
      </c>
      <c r="B244">
        <v>8683372</v>
      </c>
    </row>
    <row r="245" spans="1:2" x14ac:dyDescent="0.25">
      <c r="A245" s="2">
        <v>43922</v>
      </c>
      <c r="B245">
        <v>8814647</v>
      </c>
    </row>
    <row r="246" spans="1:2" x14ac:dyDescent="0.25">
      <c r="A246" s="2">
        <v>43952</v>
      </c>
      <c r="B246">
        <v>6686170</v>
      </c>
    </row>
    <row r="247" spans="1:2" x14ac:dyDescent="0.25">
      <c r="A247" s="2">
        <v>43983</v>
      </c>
      <c r="B247">
        <v>4033597</v>
      </c>
    </row>
    <row r="248" spans="1:2" x14ac:dyDescent="0.25">
      <c r="A248" s="2">
        <v>44013</v>
      </c>
      <c r="B248">
        <v>1364330</v>
      </c>
    </row>
    <row r="249" spans="1:2" x14ac:dyDescent="0.25">
      <c r="A249" s="2">
        <v>44044</v>
      </c>
      <c r="B249">
        <v>1497231</v>
      </c>
    </row>
    <row r="250" spans="1:2" x14ac:dyDescent="0.25">
      <c r="A250" s="2">
        <v>44075</v>
      </c>
      <c r="B250">
        <v>5534295</v>
      </c>
    </row>
    <row r="251" spans="1:2" x14ac:dyDescent="0.25">
      <c r="A251" s="2">
        <v>44105</v>
      </c>
      <c r="B251">
        <v>3794730</v>
      </c>
    </row>
    <row r="252" spans="1:2" x14ac:dyDescent="0.25">
      <c r="A252" s="2">
        <v>44136</v>
      </c>
      <c r="B252">
        <v>4661863</v>
      </c>
    </row>
    <row r="253" spans="1:2" x14ac:dyDescent="0.25">
      <c r="A253" s="2">
        <v>44166</v>
      </c>
      <c r="B253">
        <v>20152259</v>
      </c>
    </row>
    <row r="254" spans="1:2" x14ac:dyDescent="0.25">
      <c r="A254" s="2">
        <v>44197</v>
      </c>
      <c r="B254">
        <v>6794126</v>
      </c>
    </row>
    <row r="255" spans="1:2" x14ac:dyDescent="0.25">
      <c r="A255" s="2">
        <v>44228</v>
      </c>
      <c r="B255">
        <v>1949146</v>
      </c>
    </row>
    <row r="256" spans="1:2" x14ac:dyDescent="0.25">
      <c r="A256" s="2">
        <v>44256</v>
      </c>
      <c r="B256">
        <v>5507837</v>
      </c>
    </row>
    <row r="257" spans="1:2" x14ac:dyDescent="0.25">
      <c r="A257" s="2">
        <v>44287</v>
      </c>
      <c r="B257">
        <v>5676948</v>
      </c>
    </row>
    <row r="258" spans="1:2" x14ac:dyDescent="0.25">
      <c r="A258" s="2">
        <v>44317</v>
      </c>
      <c r="B258">
        <v>3476194</v>
      </c>
    </row>
    <row r="259" spans="1:2" x14ac:dyDescent="0.25">
      <c r="A259" s="2">
        <v>44348</v>
      </c>
      <c r="B259">
        <v>4539731</v>
      </c>
    </row>
    <row r="260" spans="1:2" x14ac:dyDescent="0.25">
      <c r="A260" s="2">
        <v>44378</v>
      </c>
      <c r="B260">
        <v>5499739</v>
      </c>
    </row>
    <row r="261" spans="1:2" x14ac:dyDescent="0.25">
      <c r="A261" s="2">
        <v>44409</v>
      </c>
      <c r="B261">
        <v>2580244</v>
      </c>
    </row>
    <row r="262" spans="1:2" x14ac:dyDescent="0.25">
      <c r="A262" s="2">
        <v>44440</v>
      </c>
      <c r="B262">
        <v>1996721</v>
      </c>
    </row>
    <row r="263" spans="1:2" x14ac:dyDescent="0.25">
      <c r="A263" s="2">
        <v>44470</v>
      </c>
      <c r="B263">
        <v>14743853</v>
      </c>
    </row>
    <row r="264" spans="1:2" x14ac:dyDescent="0.25">
      <c r="A264" s="2">
        <v>44501</v>
      </c>
      <c r="B264">
        <v>3574557</v>
      </c>
    </row>
    <row r="265" spans="1:2" x14ac:dyDescent="0.25">
      <c r="A265" s="2">
        <v>44531</v>
      </c>
      <c r="B265">
        <v>14987686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8"/>
  <sheetViews>
    <sheetView workbookViewId="0">
      <pane xSplit="2" ySplit="1" topLeftCell="C230" activePane="bottomRight" state="frozen"/>
      <selection pane="topRight" activeCell="B1" sqref="B1"/>
      <selection pane="bottomLeft" activeCell="A2" sqref="A2"/>
      <selection pane="bottomRight" activeCell="D253" sqref="D253"/>
    </sheetView>
  </sheetViews>
  <sheetFormatPr defaultColWidth="14.28515625" defaultRowHeight="15" x14ac:dyDescent="0.25"/>
  <cols>
    <col min="1" max="1" width="35.85546875" bestFit="1" customWidth="1"/>
    <col min="2" max="2" width="14.42578125" bestFit="1" customWidth="1"/>
    <col min="3" max="3" width="19.5703125" bestFit="1" customWidth="1"/>
    <col min="4" max="4" width="20.7109375" bestFit="1" customWidth="1"/>
    <col min="5" max="5" width="37.42578125" bestFit="1" customWidth="1"/>
    <col min="6" max="6" width="22.28515625" bestFit="1" customWidth="1"/>
    <col min="8" max="8" width="8" bestFit="1" customWidth="1"/>
  </cols>
  <sheetData>
    <row r="1" spans="1:6" x14ac:dyDescent="0.25">
      <c r="A1" s="7" t="s">
        <v>14</v>
      </c>
      <c r="B1" t="s">
        <v>7</v>
      </c>
      <c r="C1" t="s">
        <v>8</v>
      </c>
      <c r="D1" t="s">
        <v>10</v>
      </c>
      <c r="E1" t="s">
        <v>17</v>
      </c>
      <c r="F1" t="s">
        <v>18</v>
      </c>
    </row>
    <row r="2" spans="1:6" x14ac:dyDescent="0.25">
      <c r="B2" s="2">
        <v>36526</v>
      </c>
      <c r="C2">
        <v>121670</v>
      </c>
    </row>
    <row r="3" spans="1:6" x14ac:dyDescent="0.25">
      <c r="B3" s="2">
        <v>36557</v>
      </c>
      <c r="C3">
        <v>0</v>
      </c>
    </row>
    <row r="4" spans="1:6" x14ac:dyDescent="0.25">
      <c r="B4" s="2">
        <v>36586</v>
      </c>
      <c r="C4">
        <v>0</v>
      </c>
    </row>
    <row r="5" spans="1:6" x14ac:dyDescent="0.25">
      <c r="B5" s="2">
        <v>36617</v>
      </c>
      <c r="C5">
        <v>1630925</v>
      </c>
    </row>
    <row r="6" spans="1:6" x14ac:dyDescent="0.25">
      <c r="B6" s="2">
        <v>36647</v>
      </c>
      <c r="C6">
        <v>12343071</v>
      </c>
    </row>
    <row r="7" spans="1:6" x14ac:dyDescent="0.25">
      <c r="B7" s="2">
        <v>36678</v>
      </c>
      <c r="C7">
        <v>10396080</v>
      </c>
    </row>
    <row r="8" spans="1:6" x14ac:dyDescent="0.25">
      <c r="B8" s="2">
        <v>36708</v>
      </c>
      <c r="C8">
        <v>5174232</v>
      </c>
    </row>
    <row r="9" spans="1:6" x14ac:dyDescent="0.25">
      <c r="B9" s="2">
        <v>36739</v>
      </c>
      <c r="C9">
        <v>3260662</v>
      </c>
    </row>
    <row r="10" spans="1:6" x14ac:dyDescent="0.25">
      <c r="B10" s="2">
        <v>36770</v>
      </c>
      <c r="C10">
        <v>26015</v>
      </c>
    </row>
    <row r="11" spans="1:6" x14ac:dyDescent="0.25">
      <c r="B11" s="2">
        <v>36800</v>
      </c>
      <c r="C11">
        <v>182739</v>
      </c>
    </row>
    <row r="12" spans="1:6" x14ac:dyDescent="0.25">
      <c r="B12" s="2">
        <v>36831</v>
      </c>
      <c r="C12">
        <v>0</v>
      </c>
    </row>
    <row r="13" spans="1:6" x14ac:dyDescent="0.25">
      <c r="B13" s="2">
        <v>36861</v>
      </c>
      <c r="C13">
        <v>10317340</v>
      </c>
    </row>
    <row r="14" spans="1:6" x14ac:dyDescent="0.25">
      <c r="B14" s="2">
        <v>36892</v>
      </c>
      <c r="C14">
        <v>187630</v>
      </c>
    </row>
    <row r="15" spans="1:6" x14ac:dyDescent="0.25">
      <c r="B15" s="2">
        <v>36923</v>
      </c>
      <c r="C15">
        <v>115640</v>
      </c>
    </row>
    <row r="16" spans="1:6" x14ac:dyDescent="0.25">
      <c r="B16" s="2">
        <v>36951</v>
      </c>
      <c r="C16">
        <v>2033805</v>
      </c>
    </row>
    <row r="17" spans="2:3" x14ac:dyDescent="0.25">
      <c r="B17" s="2">
        <v>36982</v>
      </c>
      <c r="C17">
        <v>2679394</v>
      </c>
    </row>
    <row r="18" spans="2:3" x14ac:dyDescent="0.25">
      <c r="B18" s="2">
        <v>37012</v>
      </c>
      <c r="C18">
        <v>10585486</v>
      </c>
    </row>
    <row r="19" spans="2:3" x14ac:dyDescent="0.25">
      <c r="B19" s="2">
        <v>37043</v>
      </c>
      <c r="C19">
        <v>6982546</v>
      </c>
    </row>
    <row r="20" spans="2:3" x14ac:dyDescent="0.25">
      <c r="B20" s="2">
        <v>37073</v>
      </c>
      <c r="C20">
        <v>9695330</v>
      </c>
    </row>
    <row r="21" spans="2:3" x14ac:dyDescent="0.25">
      <c r="B21" s="2">
        <v>37104</v>
      </c>
      <c r="C21">
        <v>14253564</v>
      </c>
    </row>
    <row r="22" spans="2:3" x14ac:dyDescent="0.25">
      <c r="B22" s="2">
        <v>37135</v>
      </c>
      <c r="C22">
        <v>3722336</v>
      </c>
    </row>
    <row r="23" spans="2:3" x14ac:dyDescent="0.25">
      <c r="B23" s="2">
        <v>37165</v>
      </c>
      <c r="C23">
        <v>68553</v>
      </c>
    </row>
    <row r="24" spans="2:3" x14ac:dyDescent="0.25">
      <c r="B24" s="2">
        <v>37196</v>
      </c>
      <c r="C24">
        <v>2954</v>
      </c>
    </row>
    <row r="25" spans="2:3" x14ac:dyDescent="0.25">
      <c r="B25" s="2">
        <v>37226</v>
      </c>
      <c r="C25">
        <v>5222585</v>
      </c>
    </row>
    <row r="26" spans="2:3" x14ac:dyDescent="0.25">
      <c r="B26" s="2">
        <v>37257</v>
      </c>
      <c r="C26">
        <v>8582638</v>
      </c>
    </row>
    <row r="27" spans="2:3" x14ac:dyDescent="0.25">
      <c r="B27" s="2">
        <v>37288</v>
      </c>
      <c r="C27">
        <v>6278114</v>
      </c>
    </row>
    <row r="28" spans="2:3" x14ac:dyDescent="0.25">
      <c r="B28" s="2">
        <v>37316</v>
      </c>
      <c r="C28">
        <v>2273313</v>
      </c>
    </row>
    <row r="29" spans="2:3" x14ac:dyDescent="0.25">
      <c r="B29" s="2">
        <v>37347</v>
      </c>
      <c r="C29">
        <v>7496329</v>
      </c>
    </row>
    <row r="30" spans="2:3" x14ac:dyDescent="0.25">
      <c r="B30" s="2">
        <v>37377</v>
      </c>
      <c r="C30">
        <v>25271074</v>
      </c>
    </row>
    <row r="31" spans="2:3" x14ac:dyDescent="0.25">
      <c r="B31" s="2">
        <v>37408</v>
      </c>
      <c r="C31">
        <v>24675022</v>
      </c>
    </row>
    <row r="32" spans="2:3" x14ac:dyDescent="0.25">
      <c r="B32" s="2">
        <v>37438</v>
      </c>
      <c r="C32">
        <v>20131998</v>
      </c>
    </row>
    <row r="33" spans="2:3" x14ac:dyDescent="0.25">
      <c r="B33" s="2">
        <v>37469</v>
      </c>
      <c r="C33">
        <v>15300577</v>
      </c>
    </row>
    <row r="34" spans="2:3" x14ac:dyDescent="0.25">
      <c r="B34" s="2">
        <v>37500</v>
      </c>
      <c r="C34">
        <v>1919411</v>
      </c>
    </row>
    <row r="35" spans="2:3" x14ac:dyDescent="0.25">
      <c r="B35" s="2">
        <v>37530</v>
      </c>
      <c r="C35">
        <v>11144954</v>
      </c>
    </row>
    <row r="36" spans="2:3" x14ac:dyDescent="0.25">
      <c r="B36" s="2">
        <v>37561</v>
      </c>
      <c r="C36">
        <v>90351</v>
      </c>
    </row>
    <row r="37" spans="2:3" x14ac:dyDescent="0.25">
      <c r="B37" s="2">
        <v>37591</v>
      </c>
      <c r="C37">
        <v>5649171</v>
      </c>
    </row>
    <row r="38" spans="2:3" x14ac:dyDescent="0.25">
      <c r="B38" s="2">
        <v>37622</v>
      </c>
      <c r="C38">
        <v>6283421</v>
      </c>
    </row>
    <row r="39" spans="2:3" x14ac:dyDescent="0.25">
      <c r="B39" s="2">
        <v>37653</v>
      </c>
      <c r="C39">
        <v>2525973</v>
      </c>
    </row>
    <row r="40" spans="2:3" x14ac:dyDescent="0.25">
      <c r="B40" s="2">
        <v>37681</v>
      </c>
      <c r="C40">
        <v>3671795</v>
      </c>
    </row>
    <row r="41" spans="2:3" x14ac:dyDescent="0.25">
      <c r="B41" s="2">
        <v>37712</v>
      </c>
      <c r="C41">
        <v>7352435</v>
      </c>
    </row>
    <row r="42" spans="2:3" x14ac:dyDescent="0.25">
      <c r="B42" s="2">
        <v>37742</v>
      </c>
      <c r="C42">
        <v>11266884</v>
      </c>
    </row>
    <row r="43" spans="2:3" x14ac:dyDescent="0.25">
      <c r="B43" s="2">
        <v>37773</v>
      </c>
      <c r="C43">
        <v>44196655</v>
      </c>
    </row>
    <row r="44" spans="2:3" x14ac:dyDescent="0.25">
      <c r="B44" s="2">
        <v>37803</v>
      </c>
      <c r="C44">
        <v>38329803</v>
      </c>
    </row>
    <row r="45" spans="2:3" x14ac:dyDescent="0.25">
      <c r="B45" s="2">
        <v>37834</v>
      </c>
      <c r="C45">
        <v>15768581</v>
      </c>
    </row>
    <row r="46" spans="2:3" x14ac:dyDescent="0.25">
      <c r="B46" s="2">
        <v>37865</v>
      </c>
      <c r="C46">
        <v>425474</v>
      </c>
    </row>
    <row r="47" spans="2:3" x14ac:dyDescent="0.25">
      <c r="B47" s="2">
        <v>37895</v>
      </c>
      <c r="C47">
        <v>2556536</v>
      </c>
    </row>
    <row r="48" spans="2:3" x14ac:dyDescent="0.25">
      <c r="B48" s="2">
        <v>37926</v>
      </c>
      <c r="C48">
        <v>775418</v>
      </c>
    </row>
    <row r="49" spans="2:3" x14ac:dyDescent="0.25">
      <c r="B49" s="2">
        <v>37956</v>
      </c>
      <c r="C49">
        <v>9097427</v>
      </c>
    </row>
    <row r="50" spans="2:3" x14ac:dyDescent="0.25">
      <c r="B50" s="2">
        <v>37987</v>
      </c>
      <c r="C50">
        <v>7647047</v>
      </c>
    </row>
    <row r="51" spans="2:3" x14ac:dyDescent="0.25">
      <c r="B51" s="2">
        <v>38018</v>
      </c>
      <c r="C51">
        <v>1831041</v>
      </c>
    </row>
    <row r="52" spans="2:3" x14ac:dyDescent="0.25">
      <c r="B52" s="2">
        <v>38047</v>
      </c>
      <c r="C52">
        <v>8039125</v>
      </c>
    </row>
    <row r="53" spans="2:3" x14ac:dyDescent="0.25">
      <c r="B53" s="2">
        <v>38078</v>
      </c>
      <c r="C53">
        <v>2775687</v>
      </c>
    </row>
    <row r="54" spans="2:3" x14ac:dyDescent="0.25">
      <c r="B54" s="2">
        <v>38108</v>
      </c>
      <c r="C54">
        <v>21819802</v>
      </c>
    </row>
    <row r="55" spans="2:3" x14ac:dyDescent="0.25">
      <c r="B55" s="2">
        <v>38139</v>
      </c>
      <c r="C55">
        <v>16505777</v>
      </c>
    </row>
    <row r="56" spans="2:3" x14ac:dyDescent="0.25">
      <c r="B56" s="2">
        <v>38169</v>
      </c>
      <c r="C56">
        <v>2388014</v>
      </c>
    </row>
    <row r="57" spans="2:3" x14ac:dyDescent="0.25">
      <c r="B57" s="2">
        <v>38200</v>
      </c>
      <c r="C57">
        <v>15054</v>
      </c>
    </row>
    <row r="58" spans="2:3" x14ac:dyDescent="0.25">
      <c r="B58" s="2">
        <v>38231</v>
      </c>
      <c r="C58">
        <v>1433750</v>
      </c>
    </row>
    <row r="59" spans="2:3" x14ac:dyDescent="0.25">
      <c r="B59" s="2">
        <v>38261</v>
      </c>
      <c r="C59">
        <v>0</v>
      </c>
    </row>
    <row r="60" spans="2:3" x14ac:dyDescent="0.25">
      <c r="B60" s="2">
        <v>38292</v>
      </c>
      <c r="C60">
        <v>1372518</v>
      </c>
    </row>
    <row r="61" spans="2:3" x14ac:dyDescent="0.25">
      <c r="B61" s="2">
        <v>38322</v>
      </c>
      <c r="C61">
        <v>5615917</v>
      </c>
    </row>
    <row r="62" spans="2:3" x14ac:dyDescent="0.25">
      <c r="B62" s="2">
        <v>38353</v>
      </c>
      <c r="C62">
        <v>92</v>
      </c>
    </row>
    <row r="63" spans="2:3" x14ac:dyDescent="0.25">
      <c r="B63" s="2">
        <v>38384</v>
      </c>
      <c r="C63">
        <v>2926780</v>
      </c>
    </row>
    <row r="64" spans="2:3" x14ac:dyDescent="0.25">
      <c r="B64" s="2">
        <v>38412</v>
      </c>
      <c r="C64">
        <v>564445</v>
      </c>
    </row>
    <row r="65" spans="2:3" x14ac:dyDescent="0.25">
      <c r="B65" s="2">
        <v>38443</v>
      </c>
      <c r="C65">
        <v>2916195</v>
      </c>
    </row>
    <row r="66" spans="2:3" x14ac:dyDescent="0.25">
      <c r="B66" s="2">
        <v>38473</v>
      </c>
      <c r="C66">
        <v>888769</v>
      </c>
    </row>
    <row r="67" spans="2:3" x14ac:dyDescent="0.25">
      <c r="B67" s="2">
        <v>38504</v>
      </c>
      <c r="C67">
        <v>22464156</v>
      </c>
    </row>
    <row r="68" spans="2:3" x14ac:dyDescent="0.25">
      <c r="B68" s="2">
        <v>38534</v>
      </c>
      <c r="C68">
        <v>5623114</v>
      </c>
    </row>
    <row r="69" spans="2:3" x14ac:dyDescent="0.25">
      <c r="B69" s="2">
        <v>38565</v>
      </c>
      <c r="C69">
        <v>0</v>
      </c>
    </row>
    <row r="70" spans="2:3" x14ac:dyDescent="0.25">
      <c r="B70" s="2">
        <v>38596</v>
      </c>
      <c r="C70">
        <v>991424</v>
      </c>
    </row>
    <row r="71" spans="2:3" x14ac:dyDescent="0.25">
      <c r="B71" s="2">
        <v>38626</v>
      </c>
      <c r="C71">
        <v>239448</v>
      </c>
    </row>
    <row r="72" spans="2:3" x14ac:dyDescent="0.25">
      <c r="B72" s="2">
        <v>38657</v>
      </c>
      <c r="C72">
        <v>969248</v>
      </c>
    </row>
    <row r="73" spans="2:3" x14ac:dyDescent="0.25">
      <c r="B73" s="2">
        <v>38687</v>
      </c>
      <c r="C73">
        <v>2659067</v>
      </c>
    </row>
    <row r="74" spans="2:3" x14ac:dyDescent="0.25">
      <c r="B74" s="2">
        <v>38718</v>
      </c>
      <c r="C74">
        <v>4939867</v>
      </c>
    </row>
    <row r="75" spans="2:3" x14ac:dyDescent="0.25">
      <c r="B75" s="2">
        <v>38749</v>
      </c>
      <c r="C75">
        <v>3186817</v>
      </c>
    </row>
    <row r="76" spans="2:3" x14ac:dyDescent="0.25">
      <c r="B76" s="2">
        <v>38777</v>
      </c>
      <c r="C76">
        <v>3401741</v>
      </c>
    </row>
    <row r="77" spans="2:3" x14ac:dyDescent="0.25">
      <c r="B77" s="2">
        <v>38808</v>
      </c>
      <c r="C77">
        <v>11901968</v>
      </c>
    </row>
    <row r="78" spans="2:3" x14ac:dyDescent="0.25">
      <c r="B78" s="2">
        <v>38838</v>
      </c>
      <c r="C78">
        <v>2684520</v>
      </c>
    </row>
    <row r="79" spans="2:3" x14ac:dyDescent="0.25">
      <c r="B79" s="2">
        <v>38869</v>
      </c>
      <c r="C79">
        <v>4594261</v>
      </c>
    </row>
    <row r="80" spans="2:3" x14ac:dyDescent="0.25">
      <c r="B80" s="2">
        <v>38899</v>
      </c>
      <c r="C80">
        <v>14581</v>
      </c>
    </row>
    <row r="81" spans="2:3" x14ac:dyDescent="0.25">
      <c r="B81" s="2">
        <v>38930</v>
      </c>
      <c r="C81">
        <v>41382</v>
      </c>
    </row>
    <row r="82" spans="2:3" x14ac:dyDescent="0.25">
      <c r="B82" s="2">
        <v>38961</v>
      </c>
      <c r="C82">
        <v>32794</v>
      </c>
    </row>
    <row r="83" spans="2:3" x14ac:dyDescent="0.25">
      <c r="B83" s="2">
        <v>38991</v>
      </c>
      <c r="C83">
        <v>930008</v>
      </c>
    </row>
    <row r="84" spans="2:3" x14ac:dyDescent="0.25">
      <c r="B84" s="2">
        <v>39022</v>
      </c>
      <c r="C84">
        <v>2160573</v>
      </c>
    </row>
    <row r="85" spans="2:3" x14ac:dyDescent="0.25">
      <c r="B85" s="2">
        <v>39052</v>
      </c>
      <c r="C85">
        <v>2730143</v>
      </c>
    </row>
    <row r="86" spans="2:3" x14ac:dyDescent="0.25">
      <c r="B86" s="2">
        <v>39083</v>
      </c>
      <c r="C86">
        <v>61857</v>
      </c>
    </row>
    <row r="87" spans="2:3" x14ac:dyDescent="0.25">
      <c r="B87" s="2">
        <v>39114</v>
      </c>
      <c r="C87">
        <v>89413</v>
      </c>
    </row>
    <row r="88" spans="2:3" x14ac:dyDescent="0.25">
      <c r="B88" s="2">
        <v>39142</v>
      </c>
      <c r="C88">
        <v>631253</v>
      </c>
    </row>
    <row r="89" spans="2:3" x14ac:dyDescent="0.25">
      <c r="B89" s="2">
        <v>39173</v>
      </c>
      <c r="C89">
        <v>219872</v>
      </c>
    </row>
    <row r="90" spans="2:3" x14ac:dyDescent="0.25">
      <c r="B90" s="2">
        <v>39203</v>
      </c>
      <c r="C90">
        <v>14948644</v>
      </c>
    </row>
    <row r="91" spans="2:3" x14ac:dyDescent="0.25">
      <c r="B91" s="2">
        <v>39234</v>
      </c>
      <c r="C91">
        <v>6526977</v>
      </c>
    </row>
    <row r="92" spans="2:3" x14ac:dyDescent="0.25">
      <c r="B92" s="2">
        <v>39264</v>
      </c>
      <c r="C92">
        <v>333343</v>
      </c>
    </row>
    <row r="93" spans="2:3" x14ac:dyDescent="0.25">
      <c r="B93" s="2">
        <v>39295</v>
      </c>
      <c r="C93">
        <v>201384</v>
      </c>
    </row>
    <row r="94" spans="2:3" x14ac:dyDescent="0.25">
      <c r="B94" s="2">
        <v>39326</v>
      </c>
      <c r="C94">
        <v>187317</v>
      </c>
    </row>
    <row r="95" spans="2:3" x14ac:dyDescent="0.25">
      <c r="B95" s="2">
        <v>39356</v>
      </c>
      <c r="C95">
        <v>1283194</v>
      </c>
    </row>
    <row r="96" spans="2:3" x14ac:dyDescent="0.25">
      <c r="B96" s="2">
        <v>39387</v>
      </c>
      <c r="C96">
        <v>657423</v>
      </c>
    </row>
    <row r="97" spans="2:3" x14ac:dyDescent="0.25">
      <c r="B97" s="2">
        <v>39417</v>
      </c>
      <c r="C97">
        <v>8585924</v>
      </c>
    </row>
    <row r="98" spans="2:3" x14ac:dyDescent="0.25">
      <c r="B98" s="2">
        <v>39448</v>
      </c>
      <c r="C98">
        <v>185454</v>
      </c>
    </row>
    <row r="99" spans="2:3" x14ac:dyDescent="0.25">
      <c r="B99" s="2">
        <v>39479</v>
      </c>
      <c r="C99">
        <v>329021</v>
      </c>
    </row>
    <row r="100" spans="2:3" x14ac:dyDescent="0.25">
      <c r="B100" s="2">
        <v>39508</v>
      </c>
      <c r="C100">
        <v>1192921</v>
      </c>
    </row>
    <row r="101" spans="2:3" x14ac:dyDescent="0.25">
      <c r="B101" s="2">
        <v>39539</v>
      </c>
      <c r="C101">
        <v>581849</v>
      </c>
    </row>
    <row r="102" spans="2:3" x14ac:dyDescent="0.25">
      <c r="B102" s="2">
        <v>39569</v>
      </c>
      <c r="C102">
        <v>21416280</v>
      </c>
    </row>
    <row r="103" spans="2:3" x14ac:dyDescent="0.25">
      <c r="B103" s="2">
        <v>39600</v>
      </c>
      <c r="C103">
        <v>1838064</v>
      </c>
    </row>
    <row r="104" spans="2:3" x14ac:dyDescent="0.25">
      <c r="B104" s="2">
        <v>39630</v>
      </c>
      <c r="C104">
        <v>5630489</v>
      </c>
    </row>
    <row r="105" spans="2:3" x14ac:dyDescent="0.25">
      <c r="B105" s="2">
        <v>39661</v>
      </c>
      <c r="C105">
        <v>314436</v>
      </c>
    </row>
    <row r="106" spans="2:3" x14ac:dyDescent="0.25">
      <c r="B106" s="2">
        <v>39692</v>
      </c>
      <c r="C106">
        <v>2777577</v>
      </c>
    </row>
    <row r="107" spans="2:3" x14ac:dyDescent="0.25">
      <c r="B107" s="2">
        <v>39722</v>
      </c>
      <c r="C107">
        <v>6321081</v>
      </c>
    </row>
    <row r="108" spans="2:3" x14ac:dyDescent="0.25">
      <c r="B108" s="2">
        <v>39753</v>
      </c>
      <c r="C108">
        <v>492718</v>
      </c>
    </row>
    <row r="109" spans="2:3" x14ac:dyDescent="0.25">
      <c r="B109" s="2">
        <v>39783</v>
      </c>
      <c r="C109">
        <v>2004777</v>
      </c>
    </row>
    <row r="110" spans="2:3" x14ac:dyDescent="0.25">
      <c r="B110" s="2">
        <v>39814</v>
      </c>
      <c r="C110">
        <v>2306982</v>
      </c>
    </row>
    <row r="111" spans="2:3" x14ac:dyDescent="0.25">
      <c r="B111" s="2">
        <v>39845</v>
      </c>
      <c r="C111">
        <v>1092647</v>
      </c>
    </row>
    <row r="112" spans="2:3" x14ac:dyDescent="0.25">
      <c r="B112" s="2">
        <v>39873</v>
      </c>
      <c r="C112">
        <v>54278</v>
      </c>
    </row>
    <row r="113" spans="2:3" x14ac:dyDescent="0.25">
      <c r="B113" s="2">
        <v>39904</v>
      </c>
      <c r="C113">
        <v>6350933</v>
      </c>
    </row>
    <row r="114" spans="2:3" x14ac:dyDescent="0.25">
      <c r="B114" s="2">
        <v>39934</v>
      </c>
      <c r="C114">
        <v>11049422</v>
      </c>
    </row>
    <row r="115" spans="2:3" x14ac:dyDescent="0.25">
      <c r="B115" s="2">
        <v>39965</v>
      </c>
      <c r="C115">
        <v>5935683</v>
      </c>
    </row>
    <row r="116" spans="2:3" x14ac:dyDescent="0.25">
      <c r="B116" s="2">
        <v>39995</v>
      </c>
      <c r="C116">
        <v>5041877</v>
      </c>
    </row>
    <row r="117" spans="2:3" x14ac:dyDescent="0.25">
      <c r="B117" s="2">
        <v>40026</v>
      </c>
      <c r="C117">
        <v>1669380</v>
      </c>
    </row>
    <row r="118" spans="2:3" x14ac:dyDescent="0.25">
      <c r="B118" s="2">
        <v>40057</v>
      </c>
      <c r="C118">
        <v>453597</v>
      </c>
    </row>
    <row r="119" spans="2:3" x14ac:dyDescent="0.25">
      <c r="B119" s="2">
        <v>40087</v>
      </c>
      <c r="C119">
        <v>1445908</v>
      </c>
    </row>
    <row r="120" spans="2:3" x14ac:dyDescent="0.25">
      <c r="B120" s="2">
        <v>40118</v>
      </c>
      <c r="C120">
        <v>551455</v>
      </c>
    </row>
    <row r="121" spans="2:3" x14ac:dyDescent="0.25">
      <c r="B121" s="2">
        <v>40148</v>
      </c>
      <c r="C121">
        <v>1514169</v>
      </c>
    </row>
    <row r="122" spans="2:3" x14ac:dyDescent="0.25">
      <c r="B122" s="2">
        <v>40179</v>
      </c>
      <c r="C122">
        <v>3316210</v>
      </c>
    </row>
    <row r="123" spans="2:3" x14ac:dyDescent="0.25">
      <c r="B123" s="2">
        <v>40210</v>
      </c>
      <c r="C123">
        <v>6376900</v>
      </c>
    </row>
    <row r="124" spans="2:3" x14ac:dyDescent="0.25">
      <c r="B124" s="2">
        <v>40238</v>
      </c>
      <c r="C124">
        <v>2700390</v>
      </c>
    </row>
    <row r="125" spans="2:3" x14ac:dyDescent="0.25">
      <c r="B125" s="2">
        <v>40269</v>
      </c>
      <c r="C125">
        <v>277787</v>
      </c>
    </row>
    <row r="126" spans="2:3" x14ac:dyDescent="0.25">
      <c r="B126" s="2">
        <v>40299</v>
      </c>
      <c r="C126">
        <v>4051967</v>
      </c>
    </row>
    <row r="127" spans="2:3" x14ac:dyDescent="0.25">
      <c r="B127" s="2">
        <v>40330</v>
      </c>
      <c r="C127">
        <v>6457441</v>
      </c>
    </row>
    <row r="128" spans="2:3" x14ac:dyDescent="0.25">
      <c r="B128" s="2">
        <v>40360</v>
      </c>
      <c r="C128">
        <v>4421160</v>
      </c>
    </row>
    <row r="129" spans="2:3" x14ac:dyDescent="0.25">
      <c r="B129" s="2">
        <v>40391</v>
      </c>
      <c r="C129">
        <v>4896836</v>
      </c>
    </row>
    <row r="130" spans="2:3" x14ac:dyDescent="0.25">
      <c r="B130" s="2">
        <v>40422</v>
      </c>
      <c r="C130">
        <v>6891583</v>
      </c>
    </row>
    <row r="131" spans="2:3" x14ac:dyDescent="0.25">
      <c r="B131" s="2">
        <v>40452</v>
      </c>
      <c r="C131">
        <v>641039</v>
      </c>
    </row>
    <row r="132" spans="2:3" x14ac:dyDescent="0.25">
      <c r="B132" s="2">
        <v>40483</v>
      </c>
      <c r="C132">
        <v>19700</v>
      </c>
    </row>
    <row r="133" spans="2:3" x14ac:dyDescent="0.25">
      <c r="B133" s="2">
        <v>40513</v>
      </c>
      <c r="C133">
        <v>4445865</v>
      </c>
    </row>
    <row r="134" spans="2:3" x14ac:dyDescent="0.25">
      <c r="B134" s="2">
        <v>40544</v>
      </c>
      <c r="C134">
        <v>6581480</v>
      </c>
    </row>
    <row r="135" spans="2:3" x14ac:dyDescent="0.25">
      <c r="B135" s="2">
        <v>40575</v>
      </c>
      <c r="C135">
        <v>7408146</v>
      </c>
    </row>
    <row r="136" spans="2:3" x14ac:dyDescent="0.25">
      <c r="B136" s="2">
        <v>40603</v>
      </c>
      <c r="C136">
        <v>4942909</v>
      </c>
    </row>
    <row r="137" spans="2:3" x14ac:dyDescent="0.25">
      <c r="B137" s="2">
        <v>40634</v>
      </c>
      <c r="C137">
        <v>8091318</v>
      </c>
    </row>
    <row r="138" spans="2:3" x14ac:dyDescent="0.25">
      <c r="B138" s="2">
        <v>40664</v>
      </c>
      <c r="C138">
        <v>16718821</v>
      </c>
    </row>
    <row r="139" spans="2:3" x14ac:dyDescent="0.25">
      <c r="B139" s="2">
        <v>40695</v>
      </c>
      <c r="C139">
        <v>11575764</v>
      </c>
    </row>
    <row r="140" spans="2:3" x14ac:dyDescent="0.25">
      <c r="B140" s="2">
        <v>40725</v>
      </c>
      <c r="C140">
        <v>7597394</v>
      </c>
    </row>
    <row r="141" spans="2:3" x14ac:dyDescent="0.25">
      <c r="B141" s="2">
        <v>40756</v>
      </c>
      <c r="C141">
        <v>998907</v>
      </c>
    </row>
    <row r="142" spans="2:3" x14ac:dyDescent="0.25">
      <c r="B142" s="2">
        <v>40787</v>
      </c>
      <c r="C142">
        <v>232569</v>
      </c>
    </row>
    <row r="143" spans="2:3" x14ac:dyDescent="0.25">
      <c r="B143" s="2">
        <v>40817</v>
      </c>
      <c r="C143">
        <v>458897</v>
      </c>
    </row>
    <row r="144" spans="2:3" x14ac:dyDescent="0.25">
      <c r="B144" s="2">
        <v>40848</v>
      </c>
      <c r="C144">
        <v>5007070</v>
      </c>
    </row>
    <row r="145" spans="2:3" x14ac:dyDescent="0.25">
      <c r="B145" s="2">
        <v>40878</v>
      </c>
      <c r="C145">
        <v>6093828</v>
      </c>
    </row>
    <row r="146" spans="2:3" x14ac:dyDescent="0.25">
      <c r="B146" s="2">
        <v>40909</v>
      </c>
      <c r="C146">
        <v>3194663</v>
      </c>
    </row>
    <row r="147" spans="2:3" x14ac:dyDescent="0.25">
      <c r="B147" s="2">
        <v>40940</v>
      </c>
      <c r="C147">
        <v>3182927</v>
      </c>
    </row>
    <row r="148" spans="2:3" x14ac:dyDescent="0.25">
      <c r="B148" s="2">
        <v>40969</v>
      </c>
      <c r="C148">
        <v>320007</v>
      </c>
    </row>
    <row r="149" spans="2:3" x14ac:dyDescent="0.25">
      <c r="B149" s="2">
        <v>41000</v>
      </c>
      <c r="C149">
        <v>3833273</v>
      </c>
    </row>
    <row r="150" spans="2:3" x14ac:dyDescent="0.25">
      <c r="B150" s="2">
        <v>41030</v>
      </c>
      <c r="C150">
        <v>91530</v>
      </c>
    </row>
    <row r="151" spans="2:3" x14ac:dyDescent="0.25">
      <c r="B151" s="2">
        <v>41061</v>
      </c>
      <c r="C151">
        <v>1283500</v>
      </c>
    </row>
    <row r="152" spans="2:3" x14ac:dyDescent="0.25">
      <c r="B152" s="2">
        <v>41091</v>
      </c>
      <c r="C152">
        <v>2154627</v>
      </c>
    </row>
    <row r="153" spans="2:3" x14ac:dyDescent="0.25">
      <c r="B153" s="2">
        <v>41122</v>
      </c>
      <c r="C153">
        <v>234266</v>
      </c>
    </row>
    <row r="154" spans="2:3" x14ac:dyDescent="0.25">
      <c r="B154" s="2">
        <v>41153</v>
      </c>
      <c r="C154">
        <v>1193193</v>
      </c>
    </row>
    <row r="155" spans="2:3" x14ac:dyDescent="0.25">
      <c r="B155" s="2">
        <v>41183</v>
      </c>
      <c r="C155">
        <v>12996328</v>
      </c>
    </row>
    <row r="156" spans="2:3" x14ac:dyDescent="0.25">
      <c r="B156" s="2">
        <v>41214</v>
      </c>
      <c r="C156">
        <v>12503571</v>
      </c>
    </row>
    <row r="157" spans="2:3" x14ac:dyDescent="0.25">
      <c r="B157" s="2">
        <v>41244</v>
      </c>
      <c r="C157">
        <v>15838073</v>
      </c>
    </row>
    <row r="158" spans="2:3" x14ac:dyDescent="0.25">
      <c r="B158" s="2">
        <v>41275</v>
      </c>
      <c r="C158">
        <v>48827</v>
      </c>
    </row>
    <row r="159" spans="2:3" x14ac:dyDescent="0.25">
      <c r="B159" s="2">
        <v>41306</v>
      </c>
      <c r="C159">
        <v>0</v>
      </c>
    </row>
    <row r="160" spans="2:3" x14ac:dyDescent="0.25">
      <c r="B160" s="2">
        <v>41334</v>
      </c>
      <c r="C160">
        <v>0</v>
      </c>
    </row>
    <row r="161" spans="2:3" x14ac:dyDescent="0.25">
      <c r="B161" s="2">
        <v>41365</v>
      </c>
      <c r="C161">
        <v>5311528</v>
      </c>
    </row>
    <row r="162" spans="2:3" x14ac:dyDescent="0.25">
      <c r="B162" s="2">
        <v>41395</v>
      </c>
      <c r="C162">
        <v>5045682</v>
      </c>
    </row>
    <row r="163" spans="2:3" x14ac:dyDescent="0.25">
      <c r="B163" s="2">
        <v>41426</v>
      </c>
      <c r="C163">
        <v>4927138</v>
      </c>
    </row>
    <row r="164" spans="2:3" x14ac:dyDescent="0.25">
      <c r="B164" s="2">
        <v>41456</v>
      </c>
      <c r="C164">
        <v>14604</v>
      </c>
    </row>
    <row r="165" spans="2:3" x14ac:dyDescent="0.25">
      <c r="B165" s="2">
        <v>41487</v>
      </c>
      <c r="C165">
        <v>1287308</v>
      </c>
    </row>
    <row r="166" spans="2:3" x14ac:dyDescent="0.25">
      <c r="B166" s="2">
        <v>41518</v>
      </c>
      <c r="C166">
        <v>24548</v>
      </c>
    </row>
    <row r="167" spans="2:3" x14ac:dyDescent="0.25">
      <c r="B167" s="2">
        <v>41548</v>
      </c>
      <c r="C167">
        <v>764611</v>
      </c>
    </row>
    <row r="168" spans="2:3" x14ac:dyDescent="0.25">
      <c r="B168" s="2">
        <v>41579</v>
      </c>
      <c r="C168">
        <v>639682</v>
      </c>
    </row>
    <row r="169" spans="2:3" x14ac:dyDescent="0.25">
      <c r="B169" s="2">
        <v>41609</v>
      </c>
      <c r="C169">
        <v>1362196</v>
      </c>
    </row>
    <row r="170" spans="2:3" x14ac:dyDescent="0.25">
      <c r="B170" s="2">
        <v>41640</v>
      </c>
      <c r="C170">
        <v>144403</v>
      </c>
    </row>
    <row r="171" spans="2:3" x14ac:dyDescent="0.25">
      <c r="B171" s="2">
        <v>41671</v>
      </c>
      <c r="C171">
        <v>684396</v>
      </c>
    </row>
    <row r="172" spans="2:3" x14ac:dyDescent="0.25">
      <c r="B172" s="2">
        <v>41699</v>
      </c>
      <c r="C172">
        <v>554239</v>
      </c>
    </row>
    <row r="173" spans="2:3" x14ac:dyDescent="0.25">
      <c r="B173" s="2">
        <v>41730</v>
      </c>
      <c r="C173">
        <v>4940450</v>
      </c>
    </row>
    <row r="174" spans="2:3" x14ac:dyDescent="0.25">
      <c r="B174" s="2">
        <v>41760</v>
      </c>
      <c r="C174">
        <v>4777666</v>
      </c>
    </row>
    <row r="175" spans="2:3" x14ac:dyDescent="0.25">
      <c r="B175" s="2">
        <v>41791</v>
      </c>
      <c r="C175">
        <v>7012154</v>
      </c>
    </row>
    <row r="176" spans="2:3" x14ac:dyDescent="0.25">
      <c r="B176" s="2">
        <v>41821</v>
      </c>
      <c r="C176">
        <v>342837</v>
      </c>
    </row>
    <row r="177" spans="2:3" x14ac:dyDescent="0.25">
      <c r="B177" s="2">
        <v>41852</v>
      </c>
      <c r="C177">
        <v>8489775</v>
      </c>
    </row>
    <row r="178" spans="2:3" x14ac:dyDescent="0.25">
      <c r="B178" s="2">
        <v>41883</v>
      </c>
      <c r="C178">
        <v>0</v>
      </c>
    </row>
    <row r="179" spans="2:3" x14ac:dyDescent="0.25">
      <c r="B179" s="2">
        <v>41913</v>
      </c>
      <c r="C179">
        <v>1805576</v>
      </c>
    </row>
    <row r="180" spans="2:3" x14ac:dyDescent="0.25">
      <c r="B180" s="2">
        <v>41944</v>
      </c>
      <c r="C180">
        <v>1188109</v>
      </c>
    </row>
    <row r="181" spans="2:3" x14ac:dyDescent="0.25">
      <c r="B181" s="2">
        <v>41974</v>
      </c>
      <c r="C181">
        <v>17993306</v>
      </c>
    </row>
    <row r="182" spans="2:3" x14ac:dyDescent="0.25">
      <c r="B182" s="2">
        <v>42005</v>
      </c>
      <c r="C182">
        <v>418578</v>
      </c>
    </row>
    <row r="183" spans="2:3" x14ac:dyDescent="0.25">
      <c r="B183" s="2">
        <v>42036</v>
      </c>
      <c r="C183">
        <v>208</v>
      </c>
    </row>
    <row r="184" spans="2:3" x14ac:dyDescent="0.25">
      <c r="B184" s="2">
        <v>42064</v>
      </c>
      <c r="C184">
        <v>72591</v>
      </c>
    </row>
    <row r="185" spans="2:3" x14ac:dyDescent="0.25">
      <c r="B185" s="2">
        <v>42095</v>
      </c>
      <c r="C185">
        <v>2629964</v>
      </c>
    </row>
    <row r="186" spans="2:3" x14ac:dyDescent="0.25">
      <c r="B186" s="2">
        <v>42125</v>
      </c>
      <c r="C186">
        <v>5998161</v>
      </c>
    </row>
    <row r="187" spans="2:3" x14ac:dyDescent="0.25">
      <c r="B187" s="2">
        <v>42156</v>
      </c>
      <c r="C187">
        <v>4900578</v>
      </c>
    </row>
    <row r="188" spans="2:3" x14ac:dyDescent="0.25">
      <c r="B188" s="2">
        <v>42186</v>
      </c>
      <c r="C188">
        <v>714152</v>
      </c>
    </row>
    <row r="189" spans="2:3" x14ac:dyDescent="0.25">
      <c r="B189" s="2">
        <v>42217</v>
      </c>
      <c r="C189">
        <v>4315525</v>
      </c>
    </row>
    <row r="190" spans="2:3" x14ac:dyDescent="0.25">
      <c r="B190" s="2">
        <v>42248</v>
      </c>
      <c r="C190">
        <v>2251955</v>
      </c>
    </row>
    <row r="191" spans="2:3" x14ac:dyDescent="0.25">
      <c r="B191" s="2">
        <v>42278</v>
      </c>
      <c r="C191">
        <v>894766</v>
      </c>
    </row>
    <row r="192" spans="2:3" x14ac:dyDescent="0.25">
      <c r="B192" s="2">
        <v>42309</v>
      </c>
      <c r="C192">
        <v>3516572</v>
      </c>
    </row>
    <row r="193" spans="2:3" x14ac:dyDescent="0.25">
      <c r="B193" s="2">
        <v>42339</v>
      </c>
      <c r="C193">
        <v>4148736</v>
      </c>
    </row>
    <row r="194" spans="2:3" x14ac:dyDescent="0.25">
      <c r="B194" s="2">
        <v>42370</v>
      </c>
      <c r="C194">
        <v>1733762</v>
      </c>
    </row>
    <row r="195" spans="2:3" x14ac:dyDescent="0.25">
      <c r="B195" s="2">
        <v>42401</v>
      </c>
      <c r="C195">
        <v>4772471</v>
      </c>
    </row>
    <row r="196" spans="2:3" x14ac:dyDescent="0.25">
      <c r="B196" s="2">
        <v>42430</v>
      </c>
      <c r="C196">
        <v>624470</v>
      </c>
    </row>
    <row r="197" spans="2:3" x14ac:dyDescent="0.25">
      <c r="B197" s="2">
        <v>42461</v>
      </c>
      <c r="C197">
        <v>8990717</v>
      </c>
    </row>
    <row r="198" spans="2:3" x14ac:dyDescent="0.25">
      <c r="B198" s="2">
        <v>42491</v>
      </c>
      <c r="C198">
        <v>1883099</v>
      </c>
    </row>
    <row r="199" spans="2:3" x14ac:dyDescent="0.25">
      <c r="B199" s="2">
        <v>42522</v>
      </c>
      <c r="C199">
        <v>15948714</v>
      </c>
    </row>
    <row r="200" spans="2:3" x14ac:dyDescent="0.25">
      <c r="B200" s="2">
        <v>42552</v>
      </c>
      <c r="C200">
        <v>9188216</v>
      </c>
    </row>
    <row r="201" spans="2:3" x14ac:dyDescent="0.25">
      <c r="B201" s="2">
        <v>42583</v>
      </c>
      <c r="C201">
        <v>663874</v>
      </c>
    </row>
    <row r="202" spans="2:3" x14ac:dyDescent="0.25">
      <c r="B202" s="2">
        <v>42614</v>
      </c>
      <c r="C202">
        <v>1163677</v>
      </c>
    </row>
    <row r="203" spans="2:3" x14ac:dyDescent="0.25">
      <c r="B203" s="2">
        <v>42644</v>
      </c>
      <c r="C203">
        <v>955826</v>
      </c>
    </row>
    <row r="204" spans="2:3" x14ac:dyDescent="0.25">
      <c r="B204" s="2">
        <v>42675</v>
      </c>
      <c r="C204">
        <v>315208</v>
      </c>
    </row>
    <row r="205" spans="2:3" x14ac:dyDescent="0.25">
      <c r="B205" s="2">
        <v>42705</v>
      </c>
      <c r="C205">
        <v>22433983</v>
      </c>
    </row>
    <row r="206" spans="2:3" x14ac:dyDescent="0.25">
      <c r="B206" s="2">
        <v>42736</v>
      </c>
      <c r="C206">
        <v>5893994</v>
      </c>
    </row>
    <row r="207" spans="2:3" x14ac:dyDescent="0.25">
      <c r="B207" s="2">
        <v>42767</v>
      </c>
      <c r="C207">
        <v>3371738</v>
      </c>
    </row>
    <row r="208" spans="2:3" x14ac:dyDescent="0.25">
      <c r="B208" s="2">
        <v>42795</v>
      </c>
      <c r="C208">
        <v>2958318</v>
      </c>
    </row>
    <row r="209" spans="2:3" x14ac:dyDescent="0.25">
      <c r="B209" s="2">
        <v>42826</v>
      </c>
      <c r="C209">
        <v>8619259</v>
      </c>
    </row>
    <row r="210" spans="2:3" x14ac:dyDescent="0.25">
      <c r="B210" s="2">
        <v>42856</v>
      </c>
      <c r="C210">
        <v>564397</v>
      </c>
    </row>
    <row r="211" spans="2:3" x14ac:dyDescent="0.25">
      <c r="B211" s="2">
        <v>42887</v>
      </c>
      <c r="C211">
        <v>10529953</v>
      </c>
    </row>
    <row r="212" spans="2:3" x14ac:dyDescent="0.25">
      <c r="B212" s="2">
        <v>42917</v>
      </c>
      <c r="C212">
        <v>8170090</v>
      </c>
    </row>
    <row r="213" spans="2:3" x14ac:dyDescent="0.25">
      <c r="B213" s="2">
        <v>42948</v>
      </c>
      <c r="C213">
        <v>473076</v>
      </c>
    </row>
    <row r="214" spans="2:3" x14ac:dyDescent="0.25">
      <c r="B214" s="2">
        <v>42979</v>
      </c>
      <c r="C214">
        <v>632403</v>
      </c>
    </row>
    <row r="215" spans="2:3" x14ac:dyDescent="0.25">
      <c r="B215" s="2">
        <v>43009</v>
      </c>
      <c r="C215">
        <v>373665</v>
      </c>
    </row>
    <row r="216" spans="2:3" x14ac:dyDescent="0.25">
      <c r="B216" s="2">
        <v>43040</v>
      </c>
      <c r="C216">
        <v>2438440</v>
      </c>
    </row>
    <row r="217" spans="2:3" x14ac:dyDescent="0.25">
      <c r="B217" s="2">
        <v>43070</v>
      </c>
      <c r="C217">
        <v>11671488</v>
      </c>
    </row>
    <row r="218" spans="2:3" x14ac:dyDescent="0.25">
      <c r="B218" s="2">
        <v>43101</v>
      </c>
      <c r="C218">
        <v>3186624</v>
      </c>
    </row>
    <row r="219" spans="2:3" x14ac:dyDescent="0.25">
      <c r="B219" s="2">
        <v>43132</v>
      </c>
      <c r="C219">
        <v>500519</v>
      </c>
    </row>
    <row r="220" spans="2:3" x14ac:dyDescent="0.25">
      <c r="B220" s="2">
        <v>43160</v>
      </c>
      <c r="C220">
        <v>746365</v>
      </c>
    </row>
    <row r="221" spans="2:3" x14ac:dyDescent="0.25">
      <c r="B221" s="2">
        <v>43191</v>
      </c>
      <c r="C221">
        <v>21827955</v>
      </c>
    </row>
    <row r="222" spans="2:3" x14ac:dyDescent="0.25">
      <c r="B222" s="2">
        <v>43221</v>
      </c>
      <c r="C222">
        <v>10312860</v>
      </c>
    </row>
    <row r="223" spans="2:3" x14ac:dyDescent="0.25">
      <c r="B223" s="2">
        <v>43252</v>
      </c>
      <c r="C223">
        <v>7452629</v>
      </c>
    </row>
    <row r="224" spans="2:3" x14ac:dyDescent="0.25">
      <c r="B224" s="2">
        <v>43282</v>
      </c>
      <c r="C224">
        <v>3500983</v>
      </c>
    </row>
    <row r="225" spans="2:3" x14ac:dyDescent="0.25">
      <c r="B225" s="2">
        <v>43313</v>
      </c>
      <c r="C225">
        <v>2406216</v>
      </c>
    </row>
    <row r="226" spans="2:3" x14ac:dyDescent="0.25">
      <c r="B226" s="2">
        <v>43344</v>
      </c>
      <c r="C226">
        <v>5886206</v>
      </c>
    </row>
    <row r="227" spans="2:3" x14ac:dyDescent="0.25">
      <c r="B227" s="2">
        <v>43374</v>
      </c>
      <c r="C227">
        <v>5001506</v>
      </c>
    </row>
    <row r="228" spans="2:3" x14ac:dyDescent="0.25">
      <c r="B228" s="2">
        <v>43405</v>
      </c>
      <c r="C228">
        <v>11947720</v>
      </c>
    </row>
    <row r="229" spans="2:3" x14ac:dyDescent="0.25">
      <c r="B229" s="2">
        <v>43435</v>
      </c>
      <c r="C229">
        <v>28017522</v>
      </c>
    </row>
    <row r="230" spans="2:3" x14ac:dyDescent="0.25">
      <c r="B230" s="2">
        <v>43466</v>
      </c>
      <c r="C230">
        <v>2600036</v>
      </c>
    </row>
    <row r="231" spans="2:3" x14ac:dyDescent="0.25">
      <c r="B231" s="2">
        <v>43497</v>
      </c>
      <c r="C231">
        <v>1292975</v>
      </c>
    </row>
    <row r="232" spans="2:3" x14ac:dyDescent="0.25">
      <c r="B232" s="2">
        <v>43525</v>
      </c>
      <c r="C232">
        <v>15257508</v>
      </c>
    </row>
    <row r="233" spans="2:3" x14ac:dyDescent="0.25">
      <c r="B233" s="2">
        <v>43556</v>
      </c>
      <c r="C233">
        <v>690300</v>
      </c>
    </row>
    <row r="234" spans="2:3" x14ac:dyDescent="0.25">
      <c r="B234" s="2">
        <v>43586</v>
      </c>
      <c r="C234">
        <v>6435388</v>
      </c>
    </row>
    <row r="235" spans="2:3" x14ac:dyDescent="0.25">
      <c r="B235" s="2">
        <v>43617</v>
      </c>
      <c r="C235">
        <v>5606362</v>
      </c>
    </row>
    <row r="236" spans="2:3" x14ac:dyDescent="0.25">
      <c r="B236" s="2">
        <v>43647</v>
      </c>
      <c r="C236">
        <v>1529705</v>
      </c>
    </row>
    <row r="237" spans="2:3" x14ac:dyDescent="0.25">
      <c r="B237" s="2">
        <v>43678</v>
      </c>
      <c r="C237">
        <v>1211867</v>
      </c>
    </row>
    <row r="238" spans="2:3" x14ac:dyDescent="0.25">
      <c r="B238" s="2">
        <v>43709</v>
      </c>
      <c r="C238">
        <v>2777192</v>
      </c>
    </row>
    <row r="239" spans="2:3" x14ac:dyDescent="0.25">
      <c r="B239" s="2">
        <v>43739</v>
      </c>
      <c r="C239">
        <v>519642</v>
      </c>
    </row>
    <row r="240" spans="2:3" x14ac:dyDescent="0.25">
      <c r="B240" s="2">
        <v>43770</v>
      </c>
      <c r="C240">
        <v>3442509</v>
      </c>
    </row>
    <row r="241" spans="2:3" x14ac:dyDescent="0.25">
      <c r="B241" s="2">
        <v>43800</v>
      </c>
      <c r="C241">
        <v>15229561</v>
      </c>
    </row>
    <row r="242" spans="2:3" x14ac:dyDescent="0.25">
      <c r="B242" s="2">
        <v>43831</v>
      </c>
      <c r="C242">
        <v>5162882</v>
      </c>
    </row>
    <row r="243" spans="2:3" x14ac:dyDescent="0.25">
      <c r="B243" s="2">
        <v>43862</v>
      </c>
      <c r="C243">
        <v>4707805</v>
      </c>
    </row>
    <row r="244" spans="2:3" x14ac:dyDescent="0.25">
      <c r="B244" s="2">
        <v>43891</v>
      </c>
      <c r="C244">
        <v>8683372</v>
      </c>
    </row>
    <row r="245" spans="2:3" x14ac:dyDescent="0.25">
      <c r="B245" s="2">
        <v>43922</v>
      </c>
      <c r="C245">
        <v>8814647</v>
      </c>
    </row>
    <row r="246" spans="2:3" x14ac:dyDescent="0.25">
      <c r="B246" s="2">
        <v>43952</v>
      </c>
      <c r="C246">
        <v>6686170</v>
      </c>
    </row>
    <row r="247" spans="2:3" x14ac:dyDescent="0.25">
      <c r="B247" s="2">
        <v>43983</v>
      </c>
      <c r="C247">
        <v>4033597</v>
      </c>
    </row>
    <row r="248" spans="2:3" x14ac:dyDescent="0.25">
      <c r="B248" s="2">
        <v>44013</v>
      </c>
      <c r="C248">
        <v>1364330</v>
      </c>
    </row>
    <row r="249" spans="2:3" x14ac:dyDescent="0.25">
      <c r="B249" s="2">
        <v>44044</v>
      </c>
      <c r="C249">
        <v>1497231</v>
      </c>
    </row>
    <row r="250" spans="2:3" x14ac:dyDescent="0.25">
      <c r="B250" s="2">
        <v>44075</v>
      </c>
      <c r="C250">
        <v>5534295</v>
      </c>
    </row>
    <row r="251" spans="2:3" x14ac:dyDescent="0.25">
      <c r="B251" s="2">
        <v>44105</v>
      </c>
      <c r="C251">
        <v>3794730</v>
      </c>
    </row>
    <row r="252" spans="2:3" x14ac:dyDescent="0.25">
      <c r="B252" s="2">
        <v>44136</v>
      </c>
      <c r="C252">
        <v>4661863</v>
      </c>
    </row>
    <row r="253" spans="2:3" x14ac:dyDescent="0.25">
      <c r="B253" s="2">
        <v>44166</v>
      </c>
      <c r="C253">
        <v>20152259</v>
      </c>
    </row>
    <row r="254" spans="2:3" x14ac:dyDescent="0.25">
      <c r="B254" s="2">
        <v>44197</v>
      </c>
      <c r="C254">
        <v>6794126</v>
      </c>
    </row>
    <row r="255" spans="2:3" x14ac:dyDescent="0.25">
      <c r="B255" s="2">
        <v>44228</v>
      </c>
      <c r="C255">
        <v>1949146</v>
      </c>
    </row>
    <row r="256" spans="2:3" x14ac:dyDescent="0.25">
      <c r="B256" s="2">
        <v>44256</v>
      </c>
      <c r="C256">
        <v>5507837</v>
      </c>
    </row>
    <row r="257" spans="2:9" x14ac:dyDescent="0.25">
      <c r="B257" s="2">
        <v>44287</v>
      </c>
      <c r="C257">
        <v>5676948</v>
      </c>
    </row>
    <row r="258" spans="2:9" x14ac:dyDescent="0.25">
      <c r="B258" s="2">
        <v>44317</v>
      </c>
      <c r="C258">
        <v>3476194</v>
      </c>
    </row>
    <row r="259" spans="2:9" ht="17.25" x14ac:dyDescent="0.3">
      <c r="B259" s="2">
        <v>44348</v>
      </c>
      <c r="C259">
        <v>4539731</v>
      </c>
      <c r="E259" s="8" t="s">
        <v>16</v>
      </c>
      <c r="F259" s="8" t="s">
        <v>19</v>
      </c>
    </row>
    <row r="260" spans="2:9" x14ac:dyDescent="0.25">
      <c r="B260" s="2">
        <v>44378</v>
      </c>
      <c r="C260">
        <v>5499739</v>
      </c>
      <c r="D260" s="4">
        <v>2807155.0499842698</v>
      </c>
      <c r="E260" s="4">
        <f t="shared" ref="E260:E277" si="0">ABS((C260-D260)/C260)</f>
        <v>0.48958395116854275</v>
      </c>
      <c r="F260" s="5">
        <f>ABS(C260-D260)</f>
        <v>2692583.9500157302</v>
      </c>
      <c r="H260" s="6"/>
    </row>
    <row r="261" spans="2:9" x14ac:dyDescent="0.25">
      <c r="B261" s="2">
        <v>44409</v>
      </c>
      <c r="C261">
        <v>2580244</v>
      </c>
      <c r="D261" s="4">
        <v>2874343.5076780799</v>
      </c>
      <c r="E261" s="4">
        <f t="shared" si="0"/>
        <v>0.11398127761486118</v>
      </c>
      <c r="F261" s="5">
        <f t="shared" ref="F261:F277" si="1">ABS(C261-D261)</f>
        <v>294099.50767807988</v>
      </c>
    </row>
    <row r="262" spans="2:9" x14ac:dyDescent="0.25">
      <c r="B262" s="2">
        <v>44440</v>
      </c>
      <c r="C262">
        <v>1996721</v>
      </c>
      <c r="D262" s="4">
        <v>3518943.64933347</v>
      </c>
      <c r="E262" s="4">
        <f t="shared" si="0"/>
        <v>0.76236121588017058</v>
      </c>
      <c r="F262" s="5">
        <f t="shared" si="1"/>
        <v>1522222.64933347</v>
      </c>
    </row>
    <row r="263" spans="2:9" x14ac:dyDescent="0.25">
      <c r="B263" s="2">
        <v>44470</v>
      </c>
      <c r="C263">
        <v>14743853</v>
      </c>
      <c r="D263" s="4">
        <v>2265287.2580018002</v>
      </c>
      <c r="E263" s="4">
        <f t="shared" si="0"/>
        <v>0.84635717285014977</v>
      </c>
      <c r="F263" s="5">
        <f>ABS(C263-D263)</f>
        <v>12478565.741998199</v>
      </c>
    </row>
    <row r="264" spans="2:9" x14ac:dyDescent="0.25">
      <c r="B264" s="2">
        <v>44501</v>
      </c>
      <c r="C264">
        <v>3574557</v>
      </c>
      <c r="D264" s="4">
        <v>8931644.6079957709</v>
      </c>
      <c r="E264" s="4">
        <f t="shared" si="0"/>
        <v>1.498671753729419</v>
      </c>
      <c r="F264" s="5">
        <f t="shared" si="1"/>
        <v>5357087.6079957709</v>
      </c>
    </row>
    <row r="265" spans="2:9" x14ac:dyDescent="0.25">
      <c r="B265" s="2">
        <v>44531</v>
      </c>
      <c r="C265">
        <v>14987686</v>
      </c>
      <c r="D265" s="4">
        <v>16682629.9557958</v>
      </c>
      <c r="E265" s="4">
        <f t="shared" si="0"/>
        <v>0.11308910233346231</v>
      </c>
      <c r="F265" s="5">
        <f t="shared" si="1"/>
        <v>1694943.9557958003</v>
      </c>
    </row>
    <row r="266" spans="2:9" x14ac:dyDescent="0.25">
      <c r="B266" s="2">
        <v>44562</v>
      </c>
      <c r="C266">
        <v>4042415</v>
      </c>
      <c r="D266" s="4">
        <v>4357821.4538940703</v>
      </c>
      <c r="E266" s="4">
        <f t="shared" si="0"/>
        <v>7.8024263687441878E-2</v>
      </c>
      <c r="F266" s="5">
        <f t="shared" si="1"/>
        <v>315406.45389407035</v>
      </c>
      <c r="H266" s="2"/>
      <c r="I266" s="2"/>
    </row>
    <row r="267" spans="2:9" x14ac:dyDescent="0.25">
      <c r="B267" s="2">
        <v>44593</v>
      </c>
      <c r="C267">
        <v>1030123</v>
      </c>
      <c r="D267" s="4">
        <v>3197332.5431148699</v>
      </c>
      <c r="E267" s="4">
        <f t="shared" si="0"/>
        <v>2.1038357003143022</v>
      </c>
      <c r="F267" s="5">
        <f t="shared" si="1"/>
        <v>2167209.5431148699</v>
      </c>
      <c r="H267" s="2"/>
      <c r="I267" s="2"/>
    </row>
    <row r="268" spans="2:9" x14ac:dyDescent="0.25">
      <c r="B268" s="2">
        <v>44621</v>
      </c>
      <c r="C268">
        <v>4708485</v>
      </c>
      <c r="D268" s="4">
        <v>6364825.53926815</v>
      </c>
      <c r="E268" s="4">
        <f t="shared" si="0"/>
        <v>0.35177780947972648</v>
      </c>
      <c r="F268" s="5">
        <f t="shared" si="1"/>
        <v>1656340.53926815</v>
      </c>
      <c r="H268" s="2"/>
      <c r="I268" s="2"/>
    </row>
    <row r="269" spans="2:9" x14ac:dyDescent="0.25">
      <c r="B269" s="2">
        <v>44652</v>
      </c>
      <c r="C269">
        <v>6024615</v>
      </c>
      <c r="D269" s="4">
        <v>8211933.32494816</v>
      </c>
      <c r="E269" s="4">
        <f t="shared" si="0"/>
        <v>0.36306358579729325</v>
      </c>
      <c r="F269" s="5">
        <f t="shared" si="1"/>
        <v>2187318.32494816</v>
      </c>
      <c r="H269" s="2"/>
      <c r="I269" s="2"/>
    </row>
    <row r="270" spans="2:9" x14ac:dyDescent="0.25">
      <c r="B270" s="2">
        <v>44682</v>
      </c>
      <c r="C270">
        <v>10373780</v>
      </c>
      <c r="D270" s="4">
        <v>6378287.75276451</v>
      </c>
      <c r="E270" s="4">
        <f t="shared" si="0"/>
        <v>0.38515297675827809</v>
      </c>
      <c r="F270" s="5">
        <f t="shared" si="1"/>
        <v>3995492.24723549</v>
      </c>
      <c r="H270" s="2"/>
      <c r="I270" s="2"/>
    </row>
    <row r="271" spans="2:9" x14ac:dyDescent="0.25">
      <c r="B271" s="2">
        <v>44713</v>
      </c>
      <c r="C271">
        <v>8713963</v>
      </c>
      <c r="D271" s="4">
        <v>7282361.9125062898</v>
      </c>
      <c r="E271" s="4">
        <f t="shared" si="0"/>
        <v>0.1642881760564866</v>
      </c>
      <c r="F271" s="5">
        <f t="shared" si="1"/>
        <v>1431601.0874937102</v>
      </c>
      <c r="H271" s="2"/>
      <c r="I271" s="2"/>
    </row>
    <row r="272" spans="2:9" x14ac:dyDescent="0.25">
      <c r="B272" s="2">
        <v>44743</v>
      </c>
      <c r="C272">
        <v>5938357</v>
      </c>
      <c r="D272" s="4">
        <v>4667950.1554901898</v>
      </c>
      <c r="E272" s="4">
        <f t="shared" si="0"/>
        <v>0.2139323796985951</v>
      </c>
      <c r="F272" s="5">
        <f t="shared" si="1"/>
        <v>1270406.8445098102</v>
      </c>
    </row>
    <row r="273" spans="2:6" x14ac:dyDescent="0.25">
      <c r="B273" s="2">
        <v>44774</v>
      </c>
      <c r="C273">
        <v>1763571</v>
      </c>
      <c r="D273" s="4">
        <v>2913165.85485496</v>
      </c>
      <c r="E273" s="4">
        <f t="shared" si="0"/>
        <v>0.65185629319996752</v>
      </c>
      <c r="F273" s="5">
        <f t="shared" si="1"/>
        <v>1149594.85485496</v>
      </c>
    </row>
    <row r="274" spans="2:6" x14ac:dyDescent="0.25">
      <c r="B274" s="2">
        <v>44805</v>
      </c>
      <c r="C274">
        <v>2681947</v>
      </c>
      <c r="D274" s="4">
        <v>3676821.8910265099</v>
      </c>
      <c r="E274" s="4">
        <f t="shared" si="0"/>
        <v>0.37095248005516512</v>
      </c>
      <c r="F274" s="5">
        <f t="shared" si="1"/>
        <v>994874.89102650993</v>
      </c>
    </row>
    <row r="275" spans="2:6" x14ac:dyDescent="0.25">
      <c r="B275" s="2">
        <v>44835</v>
      </c>
      <c r="C275">
        <v>1251071</v>
      </c>
      <c r="D275" s="4">
        <v>6200765.3652220396</v>
      </c>
      <c r="E275" s="4">
        <f t="shared" si="0"/>
        <v>3.9563656780646661</v>
      </c>
      <c r="F275" s="5">
        <f t="shared" si="1"/>
        <v>4949694.3652220396</v>
      </c>
    </row>
    <row r="276" spans="2:6" x14ac:dyDescent="0.25">
      <c r="B276" s="2">
        <v>44866</v>
      </c>
      <c r="C276">
        <v>5233782</v>
      </c>
      <c r="D276" s="4">
        <v>5049914.3932704302</v>
      </c>
      <c r="E276" s="4">
        <f t="shared" si="0"/>
        <v>3.5130925730106802E-2</v>
      </c>
      <c r="F276" s="5">
        <f t="shared" si="1"/>
        <v>183867.60672956984</v>
      </c>
    </row>
    <row r="277" spans="2:6" x14ac:dyDescent="0.25">
      <c r="B277" s="2">
        <v>44896</v>
      </c>
      <c r="C277">
        <v>8074980</v>
      </c>
      <c r="D277" s="4">
        <v>16897639.810538001</v>
      </c>
      <c r="E277" s="4">
        <f t="shared" si="0"/>
        <v>1.0925921563320282</v>
      </c>
      <c r="F277" s="5">
        <f t="shared" si="1"/>
        <v>8822659.8105380014</v>
      </c>
    </row>
    <row r="278" spans="2:6" x14ac:dyDescent="0.25">
      <c r="E278" s="9">
        <f>AVERAGE(E260:E277)</f>
        <v>0.75505649437503675</v>
      </c>
      <c r="F278" s="9">
        <f>AVERAGE(F260:F277)</f>
        <v>2953553.8878695779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2009-BD99-4C21-BBD6-0036D0A538AA}">
  <dimension ref="A1:I278"/>
  <sheetViews>
    <sheetView workbookViewId="0">
      <pane xSplit="2" ySplit="1" topLeftCell="C233" activePane="bottomRight" state="frozen"/>
      <selection pane="topRight" activeCell="B1" sqref="B1"/>
      <selection pane="bottomLeft" activeCell="A2" sqref="A2"/>
      <selection pane="bottomRight" activeCell="J262" sqref="J262"/>
    </sheetView>
  </sheetViews>
  <sheetFormatPr defaultColWidth="14.28515625" defaultRowHeight="15" x14ac:dyDescent="0.25"/>
  <cols>
    <col min="1" max="1" width="35.85546875" bestFit="1" customWidth="1"/>
    <col min="2" max="2" width="14.42578125" bestFit="1" customWidth="1"/>
    <col min="3" max="3" width="19.5703125" bestFit="1" customWidth="1"/>
    <col min="4" max="4" width="20.7109375" bestFit="1" customWidth="1"/>
    <col min="5" max="5" width="37.42578125" bestFit="1" customWidth="1"/>
    <col min="6" max="6" width="22.28515625" bestFit="1" customWidth="1"/>
    <col min="8" max="8" width="8" bestFit="1" customWidth="1"/>
  </cols>
  <sheetData>
    <row r="1" spans="1:6" x14ac:dyDescent="0.25">
      <c r="A1" s="7" t="s">
        <v>11</v>
      </c>
      <c r="B1" t="s">
        <v>7</v>
      </c>
      <c r="C1" t="s">
        <v>8</v>
      </c>
      <c r="D1" t="s">
        <v>10</v>
      </c>
      <c r="E1" t="s">
        <v>17</v>
      </c>
      <c r="F1" t="s">
        <v>18</v>
      </c>
    </row>
    <row r="2" spans="1:6" x14ac:dyDescent="0.25">
      <c r="B2" s="2">
        <v>36526</v>
      </c>
      <c r="C2">
        <v>121670</v>
      </c>
    </row>
    <row r="3" spans="1:6" x14ac:dyDescent="0.25">
      <c r="B3" s="2">
        <v>36557</v>
      </c>
      <c r="C3">
        <v>0</v>
      </c>
    </row>
    <row r="4" spans="1:6" x14ac:dyDescent="0.25">
      <c r="B4" s="2">
        <v>36586</v>
      </c>
      <c r="C4">
        <v>0</v>
      </c>
    </row>
    <row r="5" spans="1:6" x14ac:dyDescent="0.25">
      <c r="B5" s="2">
        <v>36617</v>
      </c>
      <c r="C5">
        <v>1630925</v>
      </c>
    </row>
    <row r="6" spans="1:6" x14ac:dyDescent="0.25">
      <c r="B6" s="2">
        <v>36647</v>
      </c>
      <c r="C6">
        <v>12343071</v>
      </c>
    </row>
    <row r="7" spans="1:6" x14ac:dyDescent="0.25">
      <c r="B7" s="2">
        <v>36678</v>
      </c>
      <c r="C7">
        <v>10396080</v>
      </c>
    </row>
    <row r="8" spans="1:6" x14ac:dyDescent="0.25">
      <c r="B8" s="2">
        <v>36708</v>
      </c>
      <c r="C8">
        <v>5174232</v>
      </c>
    </row>
    <row r="9" spans="1:6" x14ac:dyDescent="0.25">
      <c r="B9" s="2">
        <v>36739</v>
      </c>
      <c r="C9">
        <v>3260662</v>
      </c>
    </row>
    <row r="10" spans="1:6" x14ac:dyDescent="0.25">
      <c r="B10" s="2">
        <v>36770</v>
      </c>
      <c r="C10">
        <v>26015</v>
      </c>
    </row>
    <row r="11" spans="1:6" x14ac:dyDescent="0.25">
      <c r="B11" s="2">
        <v>36800</v>
      </c>
      <c r="C11">
        <v>182739</v>
      </c>
    </row>
    <row r="12" spans="1:6" x14ac:dyDescent="0.25">
      <c r="B12" s="2">
        <v>36831</v>
      </c>
      <c r="C12">
        <v>0</v>
      </c>
    </row>
    <row r="13" spans="1:6" x14ac:dyDescent="0.25">
      <c r="B13" s="2">
        <v>36861</v>
      </c>
      <c r="C13">
        <v>10317340</v>
      </c>
    </row>
    <row r="14" spans="1:6" x14ac:dyDescent="0.25">
      <c r="B14" s="2">
        <v>36892</v>
      </c>
      <c r="C14">
        <v>187630</v>
      </c>
    </row>
    <row r="15" spans="1:6" x14ac:dyDescent="0.25">
      <c r="B15" s="2">
        <v>36923</v>
      </c>
      <c r="C15">
        <v>115640</v>
      </c>
    </row>
    <row r="16" spans="1:6" x14ac:dyDescent="0.25">
      <c r="B16" s="2">
        <v>36951</v>
      </c>
      <c r="C16">
        <v>2033805</v>
      </c>
    </row>
    <row r="17" spans="2:3" x14ac:dyDescent="0.25">
      <c r="B17" s="2">
        <v>36982</v>
      </c>
      <c r="C17">
        <v>2679394</v>
      </c>
    </row>
    <row r="18" spans="2:3" x14ac:dyDescent="0.25">
      <c r="B18" s="2">
        <v>37012</v>
      </c>
      <c r="C18">
        <v>10585486</v>
      </c>
    </row>
    <row r="19" spans="2:3" x14ac:dyDescent="0.25">
      <c r="B19" s="2">
        <v>37043</v>
      </c>
      <c r="C19">
        <v>6982546</v>
      </c>
    </row>
    <row r="20" spans="2:3" x14ac:dyDescent="0.25">
      <c r="B20" s="2">
        <v>37073</v>
      </c>
      <c r="C20">
        <v>9695330</v>
      </c>
    </row>
    <row r="21" spans="2:3" x14ac:dyDescent="0.25">
      <c r="B21" s="2">
        <v>37104</v>
      </c>
      <c r="C21">
        <v>14253564</v>
      </c>
    </row>
    <row r="22" spans="2:3" x14ac:dyDescent="0.25">
      <c r="B22" s="2">
        <v>37135</v>
      </c>
      <c r="C22">
        <v>3722336</v>
      </c>
    </row>
    <row r="23" spans="2:3" x14ac:dyDescent="0.25">
      <c r="B23" s="2">
        <v>37165</v>
      </c>
      <c r="C23">
        <v>68553</v>
      </c>
    </row>
    <row r="24" spans="2:3" x14ac:dyDescent="0.25">
      <c r="B24" s="2">
        <v>37196</v>
      </c>
      <c r="C24">
        <v>2954</v>
      </c>
    </row>
    <row r="25" spans="2:3" x14ac:dyDescent="0.25">
      <c r="B25" s="2">
        <v>37226</v>
      </c>
      <c r="C25">
        <v>5222585</v>
      </c>
    </row>
    <row r="26" spans="2:3" x14ac:dyDescent="0.25">
      <c r="B26" s="2">
        <v>37257</v>
      </c>
      <c r="C26">
        <v>8582638</v>
      </c>
    </row>
    <row r="27" spans="2:3" x14ac:dyDescent="0.25">
      <c r="B27" s="2">
        <v>37288</v>
      </c>
      <c r="C27">
        <v>6278114</v>
      </c>
    </row>
    <row r="28" spans="2:3" x14ac:dyDescent="0.25">
      <c r="B28" s="2">
        <v>37316</v>
      </c>
      <c r="C28">
        <v>2273313</v>
      </c>
    </row>
    <row r="29" spans="2:3" x14ac:dyDescent="0.25">
      <c r="B29" s="2">
        <v>37347</v>
      </c>
      <c r="C29">
        <v>7496329</v>
      </c>
    </row>
    <row r="30" spans="2:3" x14ac:dyDescent="0.25">
      <c r="B30" s="2">
        <v>37377</v>
      </c>
      <c r="C30">
        <v>25271074</v>
      </c>
    </row>
    <row r="31" spans="2:3" x14ac:dyDescent="0.25">
      <c r="B31" s="2">
        <v>37408</v>
      </c>
      <c r="C31">
        <v>24675022</v>
      </c>
    </row>
    <row r="32" spans="2:3" x14ac:dyDescent="0.25">
      <c r="B32" s="2">
        <v>37438</v>
      </c>
      <c r="C32">
        <v>20131998</v>
      </c>
    </row>
    <row r="33" spans="2:3" x14ac:dyDescent="0.25">
      <c r="B33" s="2">
        <v>37469</v>
      </c>
      <c r="C33">
        <v>15300577</v>
      </c>
    </row>
    <row r="34" spans="2:3" x14ac:dyDescent="0.25">
      <c r="B34" s="2">
        <v>37500</v>
      </c>
      <c r="C34">
        <v>1919411</v>
      </c>
    </row>
    <row r="35" spans="2:3" x14ac:dyDescent="0.25">
      <c r="B35" s="2">
        <v>37530</v>
      </c>
      <c r="C35">
        <v>11144954</v>
      </c>
    </row>
    <row r="36" spans="2:3" x14ac:dyDescent="0.25">
      <c r="B36" s="2">
        <v>37561</v>
      </c>
      <c r="C36">
        <v>90351</v>
      </c>
    </row>
    <row r="37" spans="2:3" x14ac:dyDescent="0.25">
      <c r="B37" s="2">
        <v>37591</v>
      </c>
      <c r="C37">
        <v>5649171</v>
      </c>
    </row>
    <row r="38" spans="2:3" x14ac:dyDescent="0.25">
      <c r="B38" s="2">
        <v>37622</v>
      </c>
      <c r="C38">
        <v>6283421</v>
      </c>
    </row>
    <row r="39" spans="2:3" x14ac:dyDescent="0.25">
      <c r="B39" s="2">
        <v>37653</v>
      </c>
      <c r="C39">
        <v>2525973</v>
      </c>
    </row>
    <row r="40" spans="2:3" x14ac:dyDescent="0.25">
      <c r="B40" s="2">
        <v>37681</v>
      </c>
      <c r="C40">
        <v>3671795</v>
      </c>
    </row>
    <row r="41" spans="2:3" x14ac:dyDescent="0.25">
      <c r="B41" s="2">
        <v>37712</v>
      </c>
      <c r="C41">
        <v>7352435</v>
      </c>
    </row>
    <row r="42" spans="2:3" x14ac:dyDescent="0.25">
      <c r="B42" s="2">
        <v>37742</v>
      </c>
      <c r="C42">
        <v>11266884</v>
      </c>
    </row>
    <row r="43" spans="2:3" x14ac:dyDescent="0.25">
      <c r="B43" s="2">
        <v>37773</v>
      </c>
      <c r="C43">
        <v>44196655</v>
      </c>
    </row>
    <row r="44" spans="2:3" x14ac:dyDescent="0.25">
      <c r="B44" s="2">
        <v>37803</v>
      </c>
      <c r="C44">
        <v>38329803</v>
      </c>
    </row>
    <row r="45" spans="2:3" x14ac:dyDescent="0.25">
      <c r="B45" s="2">
        <v>37834</v>
      </c>
      <c r="C45">
        <v>15768581</v>
      </c>
    </row>
    <row r="46" spans="2:3" x14ac:dyDescent="0.25">
      <c r="B46" s="2">
        <v>37865</v>
      </c>
      <c r="C46">
        <v>425474</v>
      </c>
    </row>
    <row r="47" spans="2:3" x14ac:dyDescent="0.25">
      <c r="B47" s="2">
        <v>37895</v>
      </c>
      <c r="C47">
        <v>2556536</v>
      </c>
    </row>
    <row r="48" spans="2:3" x14ac:dyDescent="0.25">
      <c r="B48" s="2">
        <v>37926</v>
      </c>
      <c r="C48">
        <v>775418</v>
      </c>
    </row>
    <row r="49" spans="2:3" x14ac:dyDescent="0.25">
      <c r="B49" s="2">
        <v>37956</v>
      </c>
      <c r="C49">
        <v>9097427</v>
      </c>
    </row>
    <row r="50" spans="2:3" x14ac:dyDescent="0.25">
      <c r="B50" s="2">
        <v>37987</v>
      </c>
      <c r="C50">
        <v>7647047</v>
      </c>
    </row>
    <row r="51" spans="2:3" x14ac:dyDescent="0.25">
      <c r="B51" s="2">
        <v>38018</v>
      </c>
      <c r="C51">
        <v>1831041</v>
      </c>
    </row>
    <row r="52" spans="2:3" x14ac:dyDescent="0.25">
      <c r="B52" s="2">
        <v>38047</v>
      </c>
      <c r="C52">
        <v>8039125</v>
      </c>
    </row>
    <row r="53" spans="2:3" x14ac:dyDescent="0.25">
      <c r="B53" s="2">
        <v>38078</v>
      </c>
      <c r="C53">
        <v>2775687</v>
      </c>
    </row>
    <row r="54" spans="2:3" x14ac:dyDescent="0.25">
      <c r="B54" s="2">
        <v>38108</v>
      </c>
      <c r="C54">
        <v>21819802</v>
      </c>
    </row>
    <row r="55" spans="2:3" x14ac:dyDescent="0.25">
      <c r="B55" s="2">
        <v>38139</v>
      </c>
      <c r="C55">
        <v>16505777</v>
      </c>
    </row>
    <row r="56" spans="2:3" x14ac:dyDescent="0.25">
      <c r="B56" s="2">
        <v>38169</v>
      </c>
      <c r="C56">
        <v>2388014</v>
      </c>
    </row>
    <row r="57" spans="2:3" x14ac:dyDescent="0.25">
      <c r="B57" s="2">
        <v>38200</v>
      </c>
      <c r="C57">
        <v>15054</v>
      </c>
    </row>
    <row r="58" spans="2:3" x14ac:dyDescent="0.25">
      <c r="B58" s="2">
        <v>38231</v>
      </c>
      <c r="C58">
        <v>1433750</v>
      </c>
    </row>
    <row r="59" spans="2:3" x14ac:dyDescent="0.25">
      <c r="B59" s="2">
        <v>38261</v>
      </c>
      <c r="C59">
        <v>0</v>
      </c>
    </row>
    <row r="60" spans="2:3" x14ac:dyDescent="0.25">
      <c r="B60" s="2">
        <v>38292</v>
      </c>
      <c r="C60">
        <v>1372518</v>
      </c>
    </row>
    <row r="61" spans="2:3" x14ac:dyDescent="0.25">
      <c r="B61" s="2">
        <v>38322</v>
      </c>
      <c r="C61">
        <v>5615917</v>
      </c>
    </row>
    <row r="62" spans="2:3" x14ac:dyDescent="0.25">
      <c r="B62" s="2">
        <v>38353</v>
      </c>
      <c r="C62">
        <v>92</v>
      </c>
    </row>
    <row r="63" spans="2:3" x14ac:dyDescent="0.25">
      <c r="B63" s="2">
        <v>38384</v>
      </c>
      <c r="C63">
        <v>2926780</v>
      </c>
    </row>
    <row r="64" spans="2:3" x14ac:dyDescent="0.25">
      <c r="B64" s="2">
        <v>38412</v>
      </c>
      <c r="C64">
        <v>564445</v>
      </c>
    </row>
    <row r="65" spans="2:3" x14ac:dyDescent="0.25">
      <c r="B65" s="2">
        <v>38443</v>
      </c>
      <c r="C65">
        <v>2916195</v>
      </c>
    </row>
    <row r="66" spans="2:3" x14ac:dyDescent="0.25">
      <c r="B66" s="2">
        <v>38473</v>
      </c>
      <c r="C66">
        <v>888769</v>
      </c>
    </row>
    <row r="67" spans="2:3" x14ac:dyDescent="0.25">
      <c r="B67" s="2">
        <v>38504</v>
      </c>
      <c r="C67">
        <v>22464156</v>
      </c>
    </row>
    <row r="68" spans="2:3" x14ac:dyDescent="0.25">
      <c r="B68" s="2">
        <v>38534</v>
      </c>
      <c r="C68">
        <v>5623114</v>
      </c>
    </row>
    <row r="69" spans="2:3" x14ac:dyDescent="0.25">
      <c r="B69" s="2">
        <v>38565</v>
      </c>
      <c r="C69">
        <v>0</v>
      </c>
    </row>
    <row r="70" spans="2:3" x14ac:dyDescent="0.25">
      <c r="B70" s="2">
        <v>38596</v>
      </c>
      <c r="C70">
        <v>991424</v>
      </c>
    </row>
    <row r="71" spans="2:3" x14ac:dyDescent="0.25">
      <c r="B71" s="2">
        <v>38626</v>
      </c>
      <c r="C71">
        <v>239448</v>
      </c>
    </row>
    <row r="72" spans="2:3" x14ac:dyDescent="0.25">
      <c r="B72" s="2">
        <v>38657</v>
      </c>
      <c r="C72">
        <v>969248</v>
      </c>
    </row>
    <row r="73" spans="2:3" x14ac:dyDescent="0.25">
      <c r="B73" s="2">
        <v>38687</v>
      </c>
      <c r="C73">
        <v>2659067</v>
      </c>
    </row>
    <row r="74" spans="2:3" x14ac:dyDescent="0.25">
      <c r="B74" s="2">
        <v>38718</v>
      </c>
      <c r="C74">
        <v>4939867</v>
      </c>
    </row>
    <row r="75" spans="2:3" x14ac:dyDescent="0.25">
      <c r="B75" s="2">
        <v>38749</v>
      </c>
      <c r="C75">
        <v>3186817</v>
      </c>
    </row>
    <row r="76" spans="2:3" x14ac:dyDescent="0.25">
      <c r="B76" s="2">
        <v>38777</v>
      </c>
      <c r="C76">
        <v>3401741</v>
      </c>
    </row>
    <row r="77" spans="2:3" x14ac:dyDescent="0.25">
      <c r="B77" s="2">
        <v>38808</v>
      </c>
      <c r="C77">
        <v>11901968</v>
      </c>
    </row>
    <row r="78" spans="2:3" x14ac:dyDescent="0.25">
      <c r="B78" s="2">
        <v>38838</v>
      </c>
      <c r="C78">
        <v>2684520</v>
      </c>
    </row>
    <row r="79" spans="2:3" x14ac:dyDescent="0.25">
      <c r="B79" s="2">
        <v>38869</v>
      </c>
      <c r="C79">
        <v>4594261</v>
      </c>
    </row>
    <row r="80" spans="2:3" x14ac:dyDescent="0.25">
      <c r="B80" s="2">
        <v>38899</v>
      </c>
      <c r="C80">
        <v>14581</v>
      </c>
    </row>
    <row r="81" spans="2:3" x14ac:dyDescent="0.25">
      <c r="B81" s="2">
        <v>38930</v>
      </c>
      <c r="C81">
        <v>41382</v>
      </c>
    </row>
    <row r="82" spans="2:3" x14ac:dyDescent="0.25">
      <c r="B82" s="2">
        <v>38961</v>
      </c>
      <c r="C82">
        <v>32794</v>
      </c>
    </row>
    <row r="83" spans="2:3" x14ac:dyDescent="0.25">
      <c r="B83" s="2">
        <v>38991</v>
      </c>
      <c r="C83">
        <v>930008</v>
      </c>
    </row>
    <row r="84" spans="2:3" x14ac:dyDescent="0.25">
      <c r="B84" s="2">
        <v>39022</v>
      </c>
      <c r="C84">
        <v>2160573</v>
      </c>
    </row>
    <row r="85" spans="2:3" x14ac:dyDescent="0.25">
      <c r="B85" s="2">
        <v>39052</v>
      </c>
      <c r="C85">
        <v>2730143</v>
      </c>
    </row>
    <row r="86" spans="2:3" x14ac:dyDescent="0.25">
      <c r="B86" s="2">
        <v>39083</v>
      </c>
      <c r="C86">
        <v>61857</v>
      </c>
    </row>
    <row r="87" spans="2:3" x14ac:dyDescent="0.25">
      <c r="B87" s="2">
        <v>39114</v>
      </c>
      <c r="C87">
        <v>89413</v>
      </c>
    </row>
    <row r="88" spans="2:3" x14ac:dyDescent="0.25">
      <c r="B88" s="2">
        <v>39142</v>
      </c>
      <c r="C88">
        <v>631253</v>
      </c>
    </row>
    <row r="89" spans="2:3" x14ac:dyDescent="0.25">
      <c r="B89" s="2">
        <v>39173</v>
      </c>
      <c r="C89">
        <v>219872</v>
      </c>
    </row>
    <row r="90" spans="2:3" x14ac:dyDescent="0.25">
      <c r="B90" s="2">
        <v>39203</v>
      </c>
      <c r="C90">
        <v>14948644</v>
      </c>
    </row>
    <row r="91" spans="2:3" x14ac:dyDescent="0.25">
      <c r="B91" s="2">
        <v>39234</v>
      </c>
      <c r="C91">
        <v>6526977</v>
      </c>
    </row>
    <row r="92" spans="2:3" x14ac:dyDescent="0.25">
      <c r="B92" s="2">
        <v>39264</v>
      </c>
      <c r="C92">
        <v>333343</v>
      </c>
    </row>
    <row r="93" spans="2:3" x14ac:dyDescent="0.25">
      <c r="B93" s="2">
        <v>39295</v>
      </c>
      <c r="C93">
        <v>201384</v>
      </c>
    </row>
    <row r="94" spans="2:3" x14ac:dyDescent="0.25">
      <c r="B94" s="2">
        <v>39326</v>
      </c>
      <c r="C94">
        <v>187317</v>
      </c>
    </row>
    <row r="95" spans="2:3" x14ac:dyDescent="0.25">
      <c r="B95" s="2">
        <v>39356</v>
      </c>
      <c r="C95">
        <v>1283194</v>
      </c>
    </row>
    <row r="96" spans="2:3" x14ac:dyDescent="0.25">
      <c r="B96" s="2">
        <v>39387</v>
      </c>
      <c r="C96">
        <v>657423</v>
      </c>
    </row>
    <row r="97" spans="2:3" x14ac:dyDescent="0.25">
      <c r="B97" s="2">
        <v>39417</v>
      </c>
      <c r="C97">
        <v>8585924</v>
      </c>
    </row>
    <row r="98" spans="2:3" x14ac:dyDescent="0.25">
      <c r="B98" s="2">
        <v>39448</v>
      </c>
      <c r="C98">
        <v>185454</v>
      </c>
    </row>
    <row r="99" spans="2:3" x14ac:dyDescent="0.25">
      <c r="B99" s="2">
        <v>39479</v>
      </c>
      <c r="C99">
        <v>329021</v>
      </c>
    </row>
    <row r="100" spans="2:3" x14ac:dyDescent="0.25">
      <c r="B100" s="2">
        <v>39508</v>
      </c>
      <c r="C100">
        <v>1192921</v>
      </c>
    </row>
    <row r="101" spans="2:3" x14ac:dyDescent="0.25">
      <c r="B101" s="2">
        <v>39539</v>
      </c>
      <c r="C101">
        <v>581849</v>
      </c>
    </row>
    <row r="102" spans="2:3" x14ac:dyDescent="0.25">
      <c r="B102" s="2">
        <v>39569</v>
      </c>
      <c r="C102">
        <v>21416280</v>
      </c>
    </row>
    <row r="103" spans="2:3" x14ac:dyDescent="0.25">
      <c r="B103" s="2">
        <v>39600</v>
      </c>
      <c r="C103">
        <v>1838064</v>
      </c>
    </row>
    <row r="104" spans="2:3" x14ac:dyDescent="0.25">
      <c r="B104" s="2">
        <v>39630</v>
      </c>
      <c r="C104">
        <v>5630489</v>
      </c>
    </row>
    <row r="105" spans="2:3" x14ac:dyDescent="0.25">
      <c r="B105" s="2">
        <v>39661</v>
      </c>
      <c r="C105">
        <v>314436</v>
      </c>
    </row>
    <row r="106" spans="2:3" x14ac:dyDescent="0.25">
      <c r="B106" s="2">
        <v>39692</v>
      </c>
      <c r="C106">
        <v>2777577</v>
      </c>
    </row>
    <row r="107" spans="2:3" x14ac:dyDescent="0.25">
      <c r="B107" s="2">
        <v>39722</v>
      </c>
      <c r="C107">
        <v>6321081</v>
      </c>
    </row>
    <row r="108" spans="2:3" x14ac:dyDescent="0.25">
      <c r="B108" s="2">
        <v>39753</v>
      </c>
      <c r="C108">
        <v>492718</v>
      </c>
    </row>
    <row r="109" spans="2:3" x14ac:dyDescent="0.25">
      <c r="B109" s="2">
        <v>39783</v>
      </c>
      <c r="C109">
        <v>2004777</v>
      </c>
    </row>
    <row r="110" spans="2:3" x14ac:dyDescent="0.25">
      <c r="B110" s="2">
        <v>39814</v>
      </c>
      <c r="C110">
        <v>2306982</v>
      </c>
    </row>
    <row r="111" spans="2:3" x14ac:dyDescent="0.25">
      <c r="B111" s="2">
        <v>39845</v>
      </c>
      <c r="C111">
        <v>1092647</v>
      </c>
    </row>
    <row r="112" spans="2:3" x14ac:dyDescent="0.25">
      <c r="B112" s="2">
        <v>39873</v>
      </c>
      <c r="C112">
        <v>54278</v>
      </c>
    </row>
    <row r="113" spans="2:3" x14ac:dyDescent="0.25">
      <c r="B113" s="2">
        <v>39904</v>
      </c>
      <c r="C113">
        <v>6350933</v>
      </c>
    </row>
    <row r="114" spans="2:3" x14ac:dyDescent="0.25">
      <c r="B114" s="2">
        <v>39934</v>
      </c>
      <c r="C114">
        <v>11049422</v>
      </c>
    </row>
    <row r="115" spans="2:3" x14ac:dyDescent="0.25">
      <c r="B115" s="2">
        <v>39965</v>
      </c>
      <c r="C115">
        <v>5935683</v>
      </c>
    </row>
    <row r="116" spans="2:3" x14ac:dyDescent="0.25">
      <c r="B116" s="2">
        <v>39995</v>
      </c>
      <c r="C116">
        <v>5041877</v>
      </c>
    </row>
    <row r="117" spans="2:3" x14ac:dyDescent="0.25">
      <c r="B117" s="2">
        <v>40026</v>
      </c>
      <c r="C117">
        <v>1669380</v>
      </c>
    </row>
    <row r="118" spans="2:3" x14ac:dyDescent="0.25">
      <c r="B118" s="2">
        <v>40057</v>
      </c>
      <c r="C118">
        <v>453597</v>
      </c>
    </row>
    <row r="119" spans="2:3" x14ac:dyDescent="0.25">
      <c r="B119" s="2">
        <v>40087</v>
      </c>
      <c r="C119">
        <v>1445908</v>
      </c>
    </row>
    <row r="120" spans="2:3" x14ac:dyDescent="0.25">
      <c r="B120" s="2">
        <v>40118</v>
      </c>
      <c r="C120">
        <v>551455</v>
      </c>
    </row>
    <row r="121" spans="2:3" x14ac:dyDescent="0.25">
      <c r="B121" s="2">
        <v>40148</v>
      </c>
      <c r="C121">
        <v>1514169</v>
      </c>
    </row>
    <row r="122" spans="2:3" x14ac:dyDescent="0.25">
      <c r="B122" s="2">
        <v>40179</v>
      </c>
      <c r="C122">
        <v>3316210</v>
      </c>
    </row>
    <row r="123" spans="2:3" x14ac:dyDescent="0.25">
      <c r="B123" s="2">
        <v>40210</v>
      </c>
      <c r="C123">
        <v>6376900</v>
      </c>
    </row>
    <row r="124" spans="2:3" x14ac:dyDescent="0.25">
      <c r="B124" s="2">
        <v>40238</v>
      </c>
      <c r="C124">
        <v>2700390</v>
      </c>
    </row>
    <row r="125" spans="2:3" x14ac:dyDescent="0.25">
      <c r="B125" s="2">
        <v>40269</v>
      </c>
      <c r="C125">
        <v>277787</v>
      </c>
    </row>
    <row r="126" spans="2:3" x14ac:dyDescent="0.25">
      <c r="B126" s="2">
        <v>40299</v>
      </c>
      <c r="C126">
        <v>4051967</v>
      </c>
    </row>
    <row r="127" spans="2:3" x14ac:dyDescent="0.25">
      <c r="B127" s="2">
        <v>40330</v>
      </c>
      <c r="C127">
        <v>6457441</v>
      </c>
    </row>
    <row r="128" spans="2:3" x14ac:dyDescent="0.25">
      <c r="B128" s="2">
        <v>40360</v>
      </c>
      <c r="C128">
        <v>4421160</v>
      </c>
    </row>
    <row r="129" spans="2:3" x14ac:dyDescent="0.25">
      <c r="B129" s="2">
        <v>40391</v>
      </c>
      <c r="C129">
        <v>4896836</v>
      </c>
    </row>
    <row r="130" spans="2:3" x14ac:dyDescent="0.25">
      <c r="B130" s="2">
        <v>40422</v>
      </c>
      <c r="C130">
        <v>6891583</v>
      </c>
    </row>
    <row r="131" spans="2:3" x14ac:dyDescent="0.25">
      <c r="B131" s="2">
        <v>40452</v>
      </c>
      <c r="C131">
        <v>641039</v>
      </c>
    </row>
    <row r="132" spans="2:3" x14ac:dyDescent="0.25">
      <c r="B132" s="2">
        <v>40483</v>
      </c>
      <c r="C132">
        <v>19700</v>
      </c>
    </row>
    <row r="133" spans="2:3" x14ac:dyDescent="0.25">
      <c r="B133" s="2">
        <v>40513</v>
      </c>
      <c r="C133">
        <v>4445865</v>
      </c>
    </row>
    <row r="134" spans="2:3" x14ac:dyDescent="0.25">
      <c r="B134" s="2">
        <v>40544</v>
      </c>
      <c r="C134">
        <v>6581480</v>
      </c>
    </row>
    <row r="135" spans="2:3" x14ac:dyDescent="0.25">
      <c r="B135" s="2">
        <v>40575</v>
      </c>
      <c r="C135">
        <v>7408146</v>
      </c>
    </row>
    <row r="136" spans="2:3" x14ac:dyDescent="0.25">
      <c r="B136" s="2">
        <v>40603</v>
      </c>
      <c r="C136">
        <v>4942909</v>
      </c>
    </row>
    <row r="137" spans="2:3" x14ac:dyDescent="0.25">
      <c r="B137" s="2">
        <v>40634</v>
      </c>
      <c r="C137">
        <v>8091318</v>
      </c>
    </row>
    <row r="138" spans="2:3" x14ac:dyDescent="0.25">
      <c r="B138" s="2">
        <v>40664</v>
      </c>
      <c r="C138">
        <v>16718821</v>
      </c>
    </row>
    <row r="139" spans="2:3" x14ac:dyDescent="0.25">
      <c r="B139" s="2">
        <v>40695</v>
      </c>
      <c r="C139">
        <v>11575764</v>
      </c>
    </row>
    <row r="140" spans="2:3" x14ac:dyDescent="0.25">
      <c r="B140" s="2">
        <v>40725</v>
      </c>
      <c r="C140">
        <v>7597394</v>
      </c>
    </row>
    <row r="141" spans="2:3" x14ac:dyDescent="0.25">
      <c r="B141" s="2">
        <v>40756</v>
      </c>
      <c r="C141">
        <v>998907</v>
      </c>
    </row>
    <row r="142" spans="2:3" x14ac:dyDescent="0.25">
      <c r="B142" s="2">
        <v>40787</v>
      </c>
      <c r="C142">
        <v>232569</v>
      </c>
    </row>
    <row r="143" spans="2:3" x14ac:dyDescent="0.25">
      <c r="B143" s="2">
        <v>40817</v>
      </c>
      <c r="C143">
        <v>458897</v>
      </c>
    </row>
    <row r="144" spans="2:3" x14ac:dyDescent="0.25">
      <c r="B144" s="2">
        <v>40848</v>
      </c>
      <c r="C144">
        <v>5007070</v>
      </c>
    </row>
    <row r="145" spans="2:3" x14ac:dyDescent="0.25">
      <c r="B145" s="2">
        <v>40878</v>
      </c>
      <c r="C145">
        <v>6093828</v>
      </c>
    </row>
    <row r="146" spans="2:3" x14ac:dyDescent="0.25">
      <c r="B146" s="2">
        <v>40909</v>
      </c>
      <c r="C146">
        <v>3194663</v>
      </c>
    </row>
    <row r="147" spans="2:3" x14ac:dyDescent="0.25">
      <c r="B147" s="2">
        <v>40940</v>
      </c>
      <c r="C147">
        <v>3182927</v>
      </c>
    </row>
    <row r="148" spans="2:3" x14ac:dyDescent="0.25">
      <c r="B148" s="2">
        <v>40969</v>
      </c>
      <c r="C148">
        <v>320007</v>
      </c>
    </row>
    <row r="149" spans="2:3" x14ac:dyDescent="0.25">
      <c r="B149" s="2">
        <v>41000</v>
      </c>
      <c r="C149">
        <v>3833273</v>
      </c>
    </row>
    <row r="150" spans="2:3" x14ac:dyDescent="0.25">
      <c r="B150" s="2">
        <v>41030</v>
      </c>
      <c r="C150">
        <v>91530</v>
      </c>
    </row>
    <row r="151" spans="2:3" x14ac:dyDescent="0.25">
      <c r="B151" s="2">
        <v>41061</v>
      </c>
      <c r="C151">
        <v>1283500</v>
      </c>
    </row>
    <row r="152" spans="2:3" x14ac:dyDescent="0.25">
      <c r="B152" s="2">
        <v>41091</v>
      </c>
      <c r="C152">
        <v>2154627</v>
      </c>
    </row>
    <row r="153" spans="2:3" x14ac:dyDescent="0.25">
      <c r="B153" s="2">
        <v>41122</v>
      </c>
      <c r="C153">
        <v>234266</v>
      </c>
    </row>
    <row r="154" spans="2:3" x14ac:dyDescent="0.25">
      <c r="B154" s="2">
        <v>41153</v>
      </c>
      <c r="C154">
        <v>1193193</v>
      </c>
    </row>
    <row r="155" spans="2:3" x14ac:dyDescent="0.25">
      <c r="B155" s="2">
        <v>41183</v>
      </c>
      <c r="C155">
        <v>12996328</v>
      </c>
    </row>
    <row r="156" spans="2:3" x14ac:dyDescent="0.25">
      <c r="B156" s="2">
        <v>41214</v>
      </c>
      <c r="C156">
        <v>12503571</v>
      </c>
    </row>
    <row r="157" spans="2:3" x14ac:dyDescent="0.25">
      <c r="B157" s="2">
        <v>41244</v>
      </c>
      <c r="C157">
        <v>15838073</v>
      </c>
    </row>
    <row r="158" spans="2:3" x14ac:dyDescent="0.25">
      <c r="B158" s="2">
        <v>41275</v>
      </c>
      <c r="C158">
        <v>48827</v>
      </c>
    </row>
    <row r="159" spans="2:3" x14ac:dyDescent="0.25">
      <c r="B159" s="2">
        <v>41306</v>
      </c>
      <c r="C159">
        <v>0</v>
      </c>
    </row>
    <row r="160" spans="2:3" x14ac:dyDescent="0.25">
      <c r="B160" s="2">
        <v>41334</v>
      </c>
      <c r="C160">
        <v>0</v>
      </c>
    </row>
    <row r="161" spans="2:3" x14ac:dyDescent="0.25">
      <c r="B161" s="2">
        <v>41365</v>
      </c>
      <c r="C161">
        <v>5311528</v>
      </c>
    </row>
    <row r="162" spans="2:3" x14ac:dyDescent="0.25">
      <c r="B162" s="2">
        <v>41395</v>
      </c>
      <c r="C162">
        <v>5045682</v>
      </c>
    </row>
    <row r="163" spans="2:3" x14ac:dyDescent="0.25">
      <c r="B163" s="2">
        <v>41426</v>
      </c>
      <c r="C163">
        <v>4927138</v>
      </c>
    </row>
    <row r="164" spans="2:3" x14ac:dyDescent="0.25">
      <c r="B164" s="2">
        <v>41456</v>
      </c>
      <c r="C164">
        <v>14604</v>
      </c>
    </row>
    <row r="165" spans="2:3" x14ac:dyDescent="0.25">
      <c r="B165" s="2">
        <v>41487</v>
      </c>
      <c r="C165">
        <v>1287308</v>
      </c>
    </row>
    <row r="166" spans="2:3" x14ac:dyDescent="0.25">
      <c r="B166" s="2">
        <v>41518</v>
      </c>
      <c r="C166">
        <v>24548</v>
      </c>
    </row>
    <row r="167" spans="2:3" x14ac:dyDescent="0.25">
      <c r="B167" s="2">
        <v>41548</v>
      </c>
      <c r="C167">
        <v>764611</v>
      </c>
    </row>
    <row r="168" spans="2:3" x14ac:dyDescent="0.25">
      <c r="B168" s="2">
        <v>41579</v>
      </c>
      <c r="C168">
        <v>639682</v>
      </c>
    </row>
    <row r="169" spans="2:3" x14ac:dyDescent="0.25">
      <c r="B169" s="2">
        <v>41609</v>
      </c>
      <c r="C169">
        <v>1362196</v>
      </c>
    </row>
    <row r="170" spans="2:3" x14ac:dyDescent="0.25">
      <c r="B170" s="2">
        <v>41640</v>
      </c>
      <c r="C170">
        <v>144403</v>
      </c>
    </row>
    <row r="171" spans="2:3" x14ac:dyDescent="0.25">
      <c r="B171" s="2">
        <v>41671</v>
      </c>
      <c r="C171">
        <v>684396</v>
      </c>
    </row>
    <row r="172" spans="2:3" x14ac:dyDescent="0.25">
      <c r="B172" s="2">
        <v>41699</v>
      </c>
      <c r="C172">
        <v>554239</v>
      </c>
    </row>
    <row r="173" spans="2:3" x14ac:dyDescent="0.25">
      <c r="B173" s="2">
        <v>41730</v>
      </c>
      <c r="C173">
        <v>4940450</v>
      </c>
    </row>
    <row r="174" spans="2:3" x14ac:dyDescent="0.25">
      <c r="B174" s="2">
        <v>41760</v>
      </c>
      <c r="C174">
        <v>4777666</v>
      </c>
    </row>
    <row r="175" spans="2:3" x14ac:dyDescent="0.25">
      <c r="B175" s="2">
        <v>41791</v>
      </c>
      <c r="C175">
        <v>7012154</v>
      </c>
    </row>
    <row r="176" spans="2:3" x14ac:dyDescent="0.25">
      <c r="B176" s="2">
        <v>41821</v>
      </c>
      <c r="C176">
        <v>342837</v>
      </c>
    </row>
    <row r="177" spans="2:3" x14ac:dyDescent="0.25">
      <c r="B177" s="2">
        <v>41852</v>
      </c>
      <c r="C177">
        <v>8489775</v>
      </c>
    </row>
    <row r="178" spans="2:3" x14ac:dyDescent="0.25">
      <c r="B178" s="2">
        <v>41883</v>
      </c>
      <c r="C178">
        <v>0</v>
      </c>
    </row>
    <row r="179" spans="2:3" x14ac:dyDescent="0.25">
      <c r="B179" s="2">
        <v>41913</v>
      </c>
      <c r="C179">
        <v>1805576</v>
      </c>
    </row>
    <row r="180" spans="2:3" x14ac:dyDescent="0.25">
      <c r="B180" s="2">
        <v>41944</v>
      </c>
      <c r="C180">
        <v>1188109</v>
      </c>
    </row>
    <row r="181" spans="2:3" x14ac:dyDescent="0.25">
      <c r="B181" s="2">
        <v>41974</v>
      </c>
      <c r="C181">
        <v>17993306</v>
      </c>
    </row>
    <row r="182" spans="2:3" x14ac:dyDescent="0.25">
      <c r="B182" s="2">
        <v>42005</v>
      </c>
      <c r="C182">
        <v>418578</v>
      </c>
    </row>
    <row r="183" spans="2:3" x14ac:dyDescent="0.25">
      <c r="B183" s="2">
        <v>42036</v>
      </c>
      <c r="C183">
        <v>208</v>
      </c>
    </row>
    <row r="184" spans="2:3" x14ac:dyDescent="0.25">
      <c r="B184" s="2">
        <v>42064</v>
      </c>
      <c r="C184">
        <v>72591</v>
      </c>
    </row>
    <row r="185" spans="2:3" x14ac:dyDescent="0.25">
      <c r="B185" s="2">
        <v>42095</v>
      </c>
      <c r="C185">
        <v>2629964</v>
      </c>
    </row>
    <row r="186" spans="2:3" x14ac:dyDescent="0.25">
      <c r="B186" s="2">
        <v>42125</v>
      </c>
      <c r="C186">
        <v>5998161</v>
      </c>
    </row>
    <row r="187" spans="2:3" x14ac:dyDescent="0.25">
      <c r="B187" s="2">
        <v>42156</v>
      </c>
      <c r="C187">
        <v>4900578</v>
      </c>
    </row>
    <row r="188" spans="2:3" x14ac:dyDescent="0.25">
      <c r="B188" s="2">
        <v>42186</v>
      </c>
      <c r="C188">
        <v>714152</v>
      </c>
    </row>
    <row r="189" spans="2:3" x14ac:dyDescent="0.25">
      <c r="B189" s="2">
        <v>42217</v>
      </c>
      <c r="C189">
        <v>4315525</v>
      </c>
    </row>
    <row r="190" spans="2:3" x14ac:dyDescent="0.25">
      <c r="B190" s="2">
        <v>42248</v>
      </c>
      <c r="C190">
        <v>2251955</v>
      </c>
    </row>
    <row r="191" spans="2:3" x14ac:dyDescent="0.25">
      <c r="B191" s="2">
        <v>42278</v>
      </c>
      <c r="C191">
        <v>894766</v>
      </c>
    </row>
    <row r="192" spans="2:3" x14ac:dyDescent="0.25">
      <c r="B192" s="2">
        <v>42309</v>
      </c>
      <c r="C192">
        <v>3516572</v>
      </c>
    </row>
    <row r="193" spans="2:3" x14ac:dyDescent="0.25">
      <c r="B193" s="2">
        <v>42339</v>
      </c>
      <c r="C193">
        <v>4148736</v>
      </c>
    </row>
    <row r="194" spans="2:3" x14ac:dyDescent="0.25">
      <c r="B194" s="2">
        <v>42370</v>
      </c>
      <c r="C194">
        <v>1733762</v>
      </c>
    </row>
    <row r="195" spans="2:3" x14ac:dyDescent="0.25">
      <c r="B195" s="2">
        <v>42401</v>
      </c>
      <c r="C195">
        <v>4772471</v>
      </c>
    </row>
    <row r="196" spans="2:3" x14ac:dyDescent="0.25">
      <c r="B196" s="2">
        <v>42430</v>
      </c>
      <c r="C196">
        <v>624470</v>
      </c>
    </row>
    <row r="197" spans="2:3" x14ac:dyDescent="0.25">
      <c r="B197" s="2">
        <v>42461</v>
      </c>
      <c r="C197">
        <v>8990717</v>
      </c>
    </row>
    <row r="198" spans="2:3" x14ac:dyDescent="0.25">
      <c r="B198" s="2">
        <v>42491</v>
      </c>
      <c r="C198">
        <v>1883099</v>
      </c>
    </row>
    <row r="199" spans="2:3" x14ac:dyDescent="0.25">
      <c r="B199" s="2">
        <v>42522</v>
      </c>
      <c r="C199">
        <v>15948714</v>
      </c>
    </row>
    <row r="200" spans="2:3" x14ac:dyDescent="0.25">
      <c r="B200" s="2">
        <v>42552</v>
      </c>
      <c r="C200">
        <v>9188216</v>
      </c>
    </row>
    <row r="201" spans="2:3" x14ac:dyDescent="0.25">
      <c r="B201" s="2">
        <v>42583</v>
      </c>
      <c r="C201">
        <v>663874</v>
      </c>
    </row>
    <row r="202" spans="2:3" x14ac:dyDescent="0.25">
      <c r="B202" s="2">
        <v>42614</v>
      </c>
      <c r="C202">
        <v>1163677</v>
      </c>
    </row>
    <row r="203" spans="2:3" x14ac:dyDescent="0.25">
      <c r="B203" s="2">
        <v>42644</v>
      </c>
      <c r="C203">
        <v>955826</v>
      </c>
    </row>
    <row r="204" spans="2:3" x14ac:dyDescent="0.25">
      <c r="B204" s="2">
        <v>42675</v>
      </c>
      <c r="C204">
        <v>315208</v>
      </c>
    </row>
    <row r="205" spans="2:3" x14ac:dyDescent="0.25">
      <c r="B205" s="2">
        <v>42705</v>
      </c>
      <c r="C205">
        <v>22433983</v>
      </c>
    </row>
    <row r="206" spans="2:3" x14ac:dyDescent="0.25">
      <c r="B206" s="2">
        <v>42736</v>
      </c>
      <c r="C206">
        <v>5893994</v>
      </c>
    </row>
    <row r="207" spans="2:3" x14ac:dyDescent="0.25">
      <c r="B207" s="2">
        <v>42767</v>
      </c>
      <c r="C207">
        <v>3371738</v>
      </c>
    </row>
    <row r="208" spans="2:3" x14ac:dyDescent="0.25">
      <c r="B208" s="2">
        <v>42795</v>
      </c>
      <c r="C208">
        <v>2958318</v>
      </c>
    </row>
    <row r="209" spans="2:3" x14ac:dyDescent="0.25">
      <c r="B209" s="2">
        <v>42826</v>
      </c>
      <c r="C209">
        <v>8619259</v>
      </c>
    </row>
    <row r="210" spans="2:3" x14ac:dyDescent="0.25">
      <c r="B210" s="2">
        <v>42856</v>
      </c>
      <c r="C210">
        <v>564397</v>
      </c>
    </row>
    <row r="211" spans="2:3" x14ac:dyDescent="0.25">
      <c r="B211" s="2">
        <v>42887</v>
      </c>
      <c r="C211">
        <v>10529953</v>
      </c>
    </row>
    <row r="212" spans="2:3" x14ac:dyDescent="0.25">
      <c r="B212" s="2">
        <v>42917</v>
      </c>
      <c r="C212">
        <v>8170090</v>
      </c>
    </row>
    <row r="213" spans="2:3" x14ac:dyDescent="0.25">
      <c r="B213" s="2">
        <v>42948</v>
      </c>
      <c r="C213">
        <v>473076</v>
      </c>
    </row>
    <row r="214" spans="2:3" x14ac:dyDescent="0.25">
      <c r="B214" s="2">
        <v>42979</v>
      </c>
      <c r="C214">
        <v>632403</v>
      </c>
    </row>
    <row r="215" spans="2:3" x14ac:dyDescent="0.25">
      <c r="B215" s="2">
        <v>43009</v>
      </c>
      <c r="C215">
        <v>373665</v>
      </c>
    </row>
    <row r="216" spans="2:3" x14ac:dyDescent="0.25">
      <c r="B216" s="2">
        <v>43040</v>
      </c>
      <c r="C216">
        <v>2438440</v>
      </c>
    </row>
    <row r="217" spans="2:3" x14ac:dyDescent="0.25">
      <c r="B217" s="2">
        <v>43070</v>
      </c>
      <c r="C217">
        <v>11671488</v>
      </c>
    </row>
    <row r="218" spans="2:3" x14ac:dyDescent="0.25">
      <c r="B218" s="2">
        <v>43101</v>
      </c>
      <c r="C218">
        <v>3186624</v>
      </c>
    </row>
    <row r="219" spans="2:3" x14ac:dyDescent="0.25">
      <c r="B219" s="2">
        <v>43132</v>
      </c>
      <c r="C219">
        <v>500519</v>
      </c>
    </row>
    <row r="220" spans="2:3" x14ac:dyDescent="0.25">
      <c r="B220" s="2">
        <v>43160</v>
      </c>
      <c r="C220">
        <v>746365</v>
      </c>
    </row>
    <row r="221" spans="2:3" x14ac:dyDescent="0.25">
      <c r="B221" s="2">
        <v>43191</v>
      </c>
      <c r="C221">
        <v>21827955</v>
      </c>
    </row>
    <row r="222" spans="2:3" x14ac:dyDescent="0.25">
      <c r="B222" s="2">
        <v>43221</v>
      </c>
      <c r="C222">
        <v>10312860</v>
      </c>
    </row>
    <row r="223" spans="2:3" x14ac:dyDescent="0.25">
      <c r="B223" s="2">
        <v>43252</v>
      </c>
      <c r="C223">
        <v>7452629</v>
      </c>
    </row>
    <row r="224" spans="2:3" x14ac:dyDescent="0.25">
      <c r="B224" s="2">
        <v>43282</v>
      </c>
      <c r="C224">
        <v>3500983</v>
      </c>
    </row>
    <row r="225" spans="2:3" x14ac:dyDescent="0.25">
      <c r="B225" s="2">
        <v>43313</v>
      </c>
      <c r="C225">
        <v>2406216</v>
      </c>
    </row>
    <row r="226" spans="2:3" x14ac:dyDescent="0.25">
      <c r="B226" s="2">
        <v>43344</v>
      </c>
      <c r="C226">
        <v>5886206</v>
      </c>
    </row>
    <row r="227" spans="2:3" x14ac:dyDescent="0.25">
      <c r="B227" s="2">
        <v>43374</v>
      </c>
      <c r="C227">
        <v>5001506</v>
      </c>
    </row>
    <row r="228" spans="2:3" x14ac:dyDescent="0.25">
      <c r="B228" s="2">
        <v>43405</v>
      </c>
      <c r="C228">
        <v>11947720</v>
      </c>
    </row>
    <row r="229" spans="2:3" x14ac:dyDescent="0.25">
      <c r="B229" s="2">
        <v>43435</v>
      </c>
      <c r="C229">
        <v>28017522</v>
      </c>
    </row>
    <row r="230" spans="2:3" x14ac:dyDescent="0.25">
      <c r="B230" s="2">
        <v>43466</v>
      </c>
      <c r="C230">
        <v>2600036</v>
      </c>
    </row>
    <row r="231" spans="2:3" x14ac:dyDescent="0.25">
      <c r="B231" s="2">
        <v>43497</v>
      </c>
      <c r="C231">
        <v>1292975</v>
      </c>
    </row>
    <row r="232" spans="2:3" x14ac:dyDescent="0.25">
      <c r="B232" s="2">
        <v>43525</v>
      </c>
      <c r="C232">
        <v>15257508</v>
      </c>
    </row>
    <row r="233" spans="2:3" x14ac:dyDescent="0.25">
      <c r="B233" s="2">
        <v>43556</v>
      </c>
      <c r="C233">
        <v>690300</v>
      </c>
    </row>
    <row r="234" spans="2:3" x14ac:dyDescent="0.25">
      <c r="B234" s="2">
        <v>43586</v>
      </c>
      <c r="C234">
        <v>6435388</v>
      </c>
    </row>
    <row r="235" spans="2:3" x14ac:dyDescent="0.25">
      <c r="B235" s="2">
        <v>43617</v>
      </c>
      <c r="C235">
        <v>5606362</v>
      </c>
    </row>
    <row r="236" spans="2:3" x14ac:dyDescent="0.25">
      <c r="B236" s="2">
        <v>43647</v>
      </c>
      <c r="C236">
        <v>1529705</v>
      </c>
    </row>
    <row r="237" spans="2:3" x14ac:dyDescent="0.25">
      <c r="B237" s="2">
        <v>43678</v>
      </c>
      <c r="C237">
        <v>1211867</v>
      </c>
    </row>
    <row r="238" spans="2:3" x14ac:dyDescent="0.25">
      <c r="B238" s="2">
        <v>43709</v>
      </c>
      <c r="C238">
        <v>2777192</v>
      </c>
    </row>
    <row r="239" spans="2:3" x14ac:dyDescent="0.25">
      <c r="B239" s="2">
        <v>43739</v>
      </c>
      <c r="C239">
        <v>519642</v>
      </c>
    </row>
    <row r="240" spans="2:3" x14ac:dyDescent="0.25">
      <c r="B240" s="2">
        <v>43770</v>
      </c>
      <c r="C240">
        <v>3442509</v>
      </c>
    </row>
    <row r="241" spans="2:3" x14ac:dyDescent="0.25">
      <c r="B241" s="2">
        <v>43800</v>
      </c>
      <c r="C241">
        <v>15229561</v>
      </c>
    </row>
    <row r="242" spans="2:3" x14ac:dyDescent="0.25">
      <c r="B242" s="2">
        <v>43831</v>
      </c>
      <c r="C242">
        <v>5162882</v>
      </c>
    </row>
    <row r="243" spans="2:3" x14ac:dyDescent="0.25">
      <c r="B243" s="2">
        <v>43862</v>
      </c>
      <c r="C243">
        <v>4707805</v>
      </c>
    </row>
    <row r="244" spans="2:3" x14ac:dyDescent="0.25">
      <c r="B244" s="2">
        <v>43891</v>
      </c>
      <c r="C244">
        <v>8683372</v>
      </c>
    </row>
    <row r="245" spans="2:3" x14ac:dyDescent="0.25">
      <c r="B245" s="2">
        <v>43922</v>
      </c>
      <c r="C245">
        <v>8814647</v>
      </c>
    </row>
    <row r="246" spans="2:3" x14ac:dyDescent="0.25">
      <c r="B246" s="2">
        <v>43952</v>
      </c>
      <c r="C246">
        <v>6686170</v>
      </c>
    </row>
    <row r="247" spans="2:3" x14ac:dyDescent="0.25">
      <c r="B247" s="2">
        <v>43983</v>
      </c>
      <c r="C247">
        <v>4033597</v>
      </c>
    </row>
    <row r="248" spans="2:3" x14ac:dyDescent="0.25">
      <c r="B248" s="2">
        <v>44013</v>
      </c>
      <c r="C248">
        <v>1364330</v>
      </c>
    </row>
    <row r="249" spans="2:3" x14ac:dyDescent="0.25">
      <c r="B249" s="2">
        <v>44044</v>
      </c>
      <c r="C249">
        <v>1497231</v>
      </c>
    </row>
    <row r="250" spans="2:3" x14ac:dyDescent="0.25">
      <c r="B250" s="2">
        <v>44075</v>
      </c>
      <c r="C250">
        <v>5534295</v>
      </c>
    </row>
    <row r="251" spans="2:3" x14ac:dyDescent="0.25">
      <c r="B251" s="2">
        <v>44105</v>
      </c>
      <c r="C251">
        <v>3794730</v>
      </c>
    </row>
    <row r="252" spans="2:3" x14ac:dyDescent="0.25">
      <c r="B252" s="2">
        <v>44136</v>
      </c>
      <c r="C252">
        <v>4661863</v>
      </c>
    </row>
    <row r="253" spans="2:3" x14ac:dyDescent="0.25">
      <c r="B253" s="2">
        <v>44166</v>
      </c>
      <c r="C253">
        <v>20152259</v>
      </c>
    </row>
    <row r="254" spans="2:3" x14ac:dyDescent="0.25">
      <c r="B254" s="2">
        <v>44197</v>
      </c>
      <c r="C254">
        <v>6794126</v>
      </c>
    </row>
    <row r="255" spans="2:3" x14ac:dyDescent="0.25">
      <c r="B255" s="2">
        <v>44228</v>
      </c>
      <c r="C255">
        <v>1949146</v>
      </c>
    </row>
    <row r="256" spans="2:3" x14ac:dyDescent="0.25">
      <c r="B256" s="2">
        <v>44256</v>
      </c>
      <c r="C256">
        <v>5507837</v>
      </c>
    </row>
    <row r="257" spans="2:9" x14ac:dyDescent="0.25">
      <c r="B257" s="2">
        <v>44287</v>
      </c>
      <c r="C257">
        <v>5676948</v>
      </c>
    </row>
    <row r="258" spans="2:9" x14ac:dyDescent="0.25">
      <c r="B258" s="2">
        <v>44317</v>
      </c>
      <c r="C258">
        <v>3476194</v>
      </c>
    </row>
    <row r="259" spans="2:9" ht="17.25" x14ac:dyDescent="0.3">
      <c r="B259" s="2">
        <v>44348</v>
      </c>
      <c r="C259">
        <v>4539731</v>
      </c>
      <c r="E259" s="8" t="s">
        <v>16</v>
      </c>
      <c r="F259" s="8" t="s">
        <v>19</v>
      </c>
    </row>
    <row r="260" spans="2:9" x14ac:dyDescent="0.25">
      <c r="B260" s="2">
        <v>44378</v>
      </c>
      <c r="C260">
        <v>5499739</v>
      </c>
      <c r="D260" s="4">
        <v>2832559.51023346</v>
      </c>
      <c r="E260" s="4">
        <f t="shared" ref="E260:E277" si="0">ABS((C260-D260)/C260)</f>
        <v>0.48496473919335809</v>
      </c>
      <c r="F260" s="5">
        <f>ABS(C260-D260)</f>
        <v>2667179.48976654</v>
      </c>
      <c r="H260" s="6"/>
    </row>
    <row r="261" spans="2:9" x14ac:dyDescent="0.25">
      <c r="B261" s="2">
        <v>44409</v>
      </c>
      <c r="C261">
        <v>2580244</v>
      </c>
      <c r="D261" s="4">
        <v>2910168.7119449498</v>
      </c>
      <c r="E261" s="4">
        <f t="shared" si="0"/>
        <v>0.12786570260213756</v>
      </c>
      <c r="F261" s="5">
        <f t="shared" ref="F261:F277" si="1">ABS(C261-D261)</f>
        <v>329924.71194494981</v>
      </c>
    </row>
    <row r="262" spans="2:9" x14ac:dyDescent="0.25">
      <c r="B262" s="2">
        <v>44440</v>
      </c>
      <c r="C262">
        <v>1996721</v>
      </c>
      <c r="D262" s="4">
        <v>3534888.44322555</v>
      </c>
      <c r="E262" s="4">
        <f t="shared" si="0"/>
        <v>0.77034670503568103</v>
      </c>
      <c r="F262" s="5">
        <f t="shared" si="1"/>
        <v>1538167.44322555</v>
      </c>
    </row>
    <row r="263" spans="2:9" x14ac:dyDescent="0.25">
      <c r="B263" s="2">
        <v>44470</v>
      </c>
      <c r="C263">
        <v>14743853</v>
      </c>
      <c r="D263" s="4">
        <v>2311190.9901914001</v>
      </c>
      <c r="E263" s="4">
        <f t="shared" si="0"/>
        <v>0.8432437579110833</v>
      </c>
      <c r="F263" s="5">
        <f>ABS(C263-D263)</f>
        <v>12432662.0098086</v>
      </c>
    </row>
    <row r="264" spans="2:9" x14ac:dyDescent="0.25">
      <c r="B264" s="2">
        <v>44501</v>
      </c>
      <c r="C264">
        <v>3574557</v>
      </c>
      <c r="D264" s="4">
        <v>8881566.9907520693</v>
      </c>
      <c r="E264" s="4">
        <f t="shared" si="0"/>
        <v>1.4846622926287283</v>
      </c>
      <c r="F264" s="5">
        <f t="shared" si="1"/>
        <v>5307009.9907520693</v>
      </c>
    </row>
    <row r="265" spans="2:9" x14ac:dyDescent="0.25">
      <c r="B265" s="2">
        <v>44531</v>
      </c>
      <c r="C265">
        <v>14987686</v>
      </c>
      <c r="D265" s="4">
        <v>16582505.318754099</v>
      </c>
      <c r="E265" s="4">
        <f t="shared" si="0"/>
        <v>0.10640864231837385</v>
      </c>
      <c r="F265" s="5">
        <f t="shared" si="1"/>
        <v>1594819.3187540993</v>
      </c>
    </row>
    <row r="266" spans="2:9" x14ac:dyDescent="0.25">
      <c r="B266" s="2">
        <v>44562</v>
      </c>
      <c r="C266">
        <v>4042415</v>
      </c>
      <c r="D266" s="4">
        <v>4423681.4587358404</v>
      </c>
      <c r="E266" s="4">
        <f t="shared" si="0"/>
        <v>9.4316506033111494E-2</v>
      </c>
      <c r="F266" s="5">
        <f t="shared" si="1"/>
        <v>381266.4587358404</v>
      </c>
      <c r="H266" s="2"/>
      <c r="I266" s="2"/>
    </row>
    <row r="267" spans="2:9" x14ac:dyDescent="0.25">
      <c r="B267" s="2">
        <v>44593</v>
      </c>
      <c r="C267">
        <v>1030123</v>
      </c>
      <c r="D267" s="4">
        <v>3207232.4832142498</v>
      </c>
      <c r="E267" s="4">
        <f t="shared" si="0"/>
        <v>2.1134461449887536</v>
      </c>
      <c r="F267" s="5">
        <f t="shared" si="1"/>
        <v>2177109.4832142498</v>
      </c>
      <c r="H267" s="2"/>
      <c r="I267" s="2"/>
    </row>
    <row r="268" spans="2:9" x14ac:dyDescent="0.25">
      <c r="B268" s="2">
        <v>44621</v>
      </c>
      <c r="C268">
        <v>4708485</v>
      </c>
      <c r="D268" s="4">
        <v>6280614.0509888101</v>
      </c>
      <c r="E268" s="4">
        <f t="shared" si="0"/>
        <v>0.33389275977067151</v>
      </c>
      <c r="F268" s="5">
        <f t="shared" si="1"/>
        <v>1572129.0509888101</v>
      </c>
      <c r="H268" s="2"/>
      <c r="I268" s="2"/>
    </row>
    <row r="269" spans="2:9" x14ac:dyDescent="0.25">
      <c r="B269" s="2">
        <v>44652</v>
      </c>
      <c r="C269">
        <v>6024615</v>
      </c>
      <c r="D269" s="4">
        <v>8160422.5089864703</v>
      </c>
      <c r="E269" s="4">
        <f t="shared" si="0"/>
        <v>0.35451352642226436</v>
      </c>
      <c r="F269" s="5">
        <f t="shared" si="1"/>
        <v>2135807.5089864703</v>
      </c>
      <c r="H269" s="2"/>
      <c r="I269" s="2"/>
    </row>
    <row r="270" spans="2:9" x14ac:dyDescent="0.25">
      <c r="B270" s="2">
        <v>44682</v>
      </c>
      <c r="C270">
        <v>10373780</v>
      </c>
      <c r="D270" s="4">
        <v>6391569.7313801805</v>
      </c>
      <c r="E270" s="4">
        <f t="shared" si="0"/>
        <v>0.38387263549254175</v>
      </c>
      <c r="F270" s="5">
        <f t="shared" si="1"/>
        <v>3982210.2686198195</v>
      </c>
      <c r="H270" s="2"/>
      <c r="I270" s="2"/>
    </row>
    <row r="271" spans="2:9" x14ac:dyDescent="0.25">
      <c r="B271" s="2">
        <v>44713</v>
      </c>
      <c r="C271">
        <v>8713963</v>
      </c>
      <c r="D271" s="4">
        <v>7325973.2419640301</v>
      </c>
      <c r="E271" s="4">
        <f t="shared" si="0"/>
        <v>0.15928341192589066</v>
      </c>
      <c r="F271" s="5">
        <f t="shared" si="1"/>
        <v>1387989.7580359699</v>
      </c>
      <c r="H271" s="2"/>
      <c r="I271" s="2"/>
    </row>
    <row r="272" spans="2:9" x14ac:dyDescent="0.25">
      <c r="B272" s="2">
        <v>44743</v>
      </c>
      <c r="C272">
        <v>5938357</v>
      </c>
      <c r="D272" s="4">
        <v>4754977.0148966797</v>
      </c>
      <c r="E272" s="4">
        <f t="shared" si="0"/>
        <v>0.19927733969232911</v>
      </c>
      <c r="F272" s="5">
        <f t="shared" si="1"/>
        <v>1183379.9851033203</v>
      </c>
    </row>
    <row r="273" spans="2:6" x14ac:dyDescent="0.25">
      <c r="B273" s="2">
        <v>44774</v>
      </c>
      <c r="C273">
        <v>1763571</v>
      </c>
      <c r="D273" s="4">
        <v>2966065.3038837402</v>
      </c>
      <c r="E273" s="4">
        <f t="shared" si="0"/>
        <v>0.68185193784868325</v>
      </c>
      <c r="F273" s="5">
        <f t="shared" si="1"/>
        <v>1202494.3038837402</v>
      </c>
    </row>
    <row r="274" spans="2:6" x14ac:dyDescent="0.25">
      <c r="B274" s="2">
        <v>44805</v>
      </c>
      <c r="C274">
        <v>2681947</v>
      </c>
      <c r="D274" s="4">
        <v>3642110.6136825001</v>
      </c>
      <c r="E274" s="4">
        <f t="shared" si="0"/>
        <v>0.35800991357491407</v>
      </c>
      <c r="F274" s="5">
        <f t="shared" si="1"/>
        <v>960163.61368250009</v>
      </c>
    </row>
    <row r="275" spans="2:6" x14ac:dyDescent="0.25">
      <c r="B275" s="2">
        <v>44835</v>
      </c>
      <c r="C275">
        <v>1251071</v>
      </c>
      <c r="D275" s="4">
        <v>6360874.9200443802</v>
      </c>
      <c r="E275" s="4">
        <f t="shared" si="0"/>
        <v>4.0843436703787237</v>
      </c>
      <c r="F275" s="5">
        <f t="shared" si="1"/>
        <v>5109803.9200443802</v>
      </c>
    </row>
    <row r="276" spans="2:6" x14ac:dyDescent="0.25">
      <c r="B276" s="2">
        <v>44866</v>
      </c>
      <c r="C276">
        <v>5233782</v>
      </c>
      <c r="D276" s="4">
        <v>5026382.3366138497</v>
      </c>
      <c r="E276" s="4">
        <f t="shared" si="0"/>
        <v>3.9627111596575913E-2</v>
      </c>
      <c r="F276" s="5">
        <f t="shared" si="1"/>
        <v>207399.66338615026</v>
      </c>
    </row>
    <row r="277" spans="2:6" x14ac:dyDescent="0.25">
      <c r="B277" s="2">
        <v>44896</v>
      </c>
      <c r="C277">
        <v>8074980</v>
      </c>
      <c r="D277" s="4">
        <v>16740798.1294214</v>
      </c>
      <c r="E277" s="4">
        <f t="shared" si="0"/>
        <v>1.0731689898205816</v>
      </c>
      <c r="F277" s="5">
        <f t="shared" si="1"/>
        <v>8665818.1294213999</v>
      </c>
    </row>
    <row r="278" spans="2:6" x14ac:dyDescent="0.25">
      <c r="E278" s="9">
        <f>AVERAGE(E260:E277)</f>
        <v>0.76072754373524476</v>
      </c>
      <c r="F278" s="9">
        <f>AVERAGE(F260:F277)</f>
        <v>2935296.3949085805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3B9E-3B49-4428-B58F-36ADC6725C93}">
  <dimension ref="A1:M278"/>
  <sheetViews>
    <sheetView workbookViewId="0">
      <pane xSplit="2" ySplit="1" topLeftCell="C233" activePane="bottomRight" state="frozen"/>
      <selection pane="topRight" activeCell="B1" sqref="B1"/>
      <selection pane="bottomLeft" activeCell="A2" sqref="A2"/>
      <selection pane="bottomRight" activeCell="F1" sqref="F1:F1048576"/>
    </sheetView>
  </sheetViews>
  <sheetFormatPr defaultColWidth="14.28515625" defaultRowHeight="15" x14ac:dyDescent="0.25"/>
  <cols>
    <col min="1" max="1" width="35.85546875" bestFit="1" customWidth="1"/>
    <col min="2" max="2" width="14.42578125" bestFit="1" customWidth="1"/>
    <col min="3" max="3" width="19.5703125" bestFit="1" customWidth="1"/>
    <col min="4" max="4" width="20.7109375" bestFit="1" customWidth="1"/>
    <col min="5" max="5" width="37.42578125" bestFit="1" customWidth="1"/>
    <col min="6" max="6" width="22.28515625" bestFit="1" customWidth="1"/>
    <col min="8" max="8" width="8" bestFit="1" customWidth="1"/>
  </cols>
  <sheetData>
    <row r="1" spans="1:6" x14ac:dyDescent="0.25">
      <c r="A1" s="7" t="s">
        <v>12</v>
      </c>
      <c r="B1" t="s">
        <v>7</v>
      </c>
      <c r="C1" t="s">
        <v>8</v>
      </c>
      <c r="D1" t="s">
        <v>10</v>
      </c>
      <c r="E1" t="s">
        <v>17</v>
      </c>
      <c r="F1" t="s">
        <v>18</v>
      </c>
    </row>
    <row r="2" spans="1:6" x14ac:dyDescent="0.25">
      <c r="B2" s="2">
        <v>36526</v>
      </c>
      <c r="C2">
        <v>121670</v>
      </c>
    </row>
    <row r="3" spans="1:6" x14ac:dyDescent="0.25">
      <c r="B3" s="2">
        <v>36557</v>
      </c>
      <c r="C3">
        <v>0</v>
      </c>
    </row>
    <row r="4" spans="1:6" x14ac:dyDescent="0.25">
      <c r="B4" s="2">
        <v>36586</v>
      </c>
      <c r="C4">
        <v>0</v>
      </c>
    </row>
    <row r="5" spans="1:6" x14ac:dyDescent="0.25">
      <c r="B5" s="2">
        <v>36617</v>
      </c>
      <c r="C5">
        <v>1630925</v>
      </c>
    </row>
    <row r="6" spans="1:6" x14ac:dyDescent="0.25">
      <c r="B6" s="2">
        <v>36647</v>
      </c>
      <c r="C6">
        <v>12343071</v>
      </c>
    </row>
    <row r="7" spans="1:6" x14ac:dyDescent="0.25">
      <c r="B7" s="2">
        <v>36678</v>
      </c>
      <c r="C7">
        <v>10396080</v>
      </c>
    </row>
    <row r="8" spans="1:6" x14ac:dyDescent="0.25">
      <c r="B8" s="2">
        <v>36708</v>
      </c>
      <c r="C8">
        <v>5174232</v>
      </c>
    </row>
    <row r="9" spans="1:6" x14ac:dyDescent="0.25">
      <c r="B9" s="2">
        <v>36739</v>
      </c>
      <c r="C9">
        <v>3260662</v>
      </c>
    </row>
    <row r="10" spans="1:6" x14ac:dyDescent="0.25">
      <c r="B10" s="2">
        <v>36770</v>
      </c>
      <c r="C10">
        <v>26015</v>
      </c>
    </row>
    <row r="11" spans="1:6" x14ac:dyDescent="0.25">
      <c r="B11" s="2">
        <v>36800</v>
      </c>
      <c r="C11">
        <v>182739</v>
      </c>
    </row>
    <row r="12" spans="1:6" x14ac:dyDescent="0.25">
      <c r="B12" s="2">
        <v>36831</v>
      </c>
      <c r="C12">
        <v>0</v>
      </c>
    </row>
    <row r="13" spans="1:6" x14ac:dyDescent="0.25">
      <c r="B13" s="2">
        <v>36861</v>
      </c>
      <c r="C13">
        <v>10317340</v>
      </c>
    </row>
    <row r="14" spans="1:6" x14ac:dyDescent="0.25">
      <c r="B14" s="2">
        <v>36892</v>
      </c>
      <c r="C14">
        <v>187630</v>
      </c>
    </row>
    <row r="15" spans="1:6" x14ac:dyDescent="0.25">
      <c r="B15" s="2">
        <v>36923</v>
      </c>
      <c r="C15">
        <v>115640</v>
      </c>
    </row>
    <row r="16" spans="1:6" x14ac:dyDescent="0.25">
      <c r="B16" s="2">
        <v>36951</v>
      </c>
      <c r="C16">
        <v>2033805</v>
      </c>
    </row>
    <row r="17" spans="2:3" x14ac:dyDescent="0.25">
      <c r="B17" s="2">
        <v>36982</v>
      </c>
      <c r="C17">
        <v>2679394</v>
      </c>
    </row>
    <row r="18" spans="2:3" x14ac:dyDescent="0.25">
      <c r="B18" s="2">
        <v>37012</v>
      </c>
      <c r="C18">
        <v>10585486</v>
      </c>
    </row>
    <row r="19" spans="2:3" x14ac:dyDescent="0.25">
      <c r="B19" s="2">
        <v>37043</v>
      </c>
      <c r="C19">
        <v>6982546</v>
      </c>
    </row>
    <row r="20" spans="2:3" x14ac:dyDescent="0.25">
      <c r="B20" s="2">
        <v>37073</v>
      </c>
      <c r="C20">
        <v>9695330</v>
      </c>
    </row>
    <row r="21" spans="2:3" x14ac:dyDescent="0.25">
      <c r="B21" s="2">
        <v>37104</v>
      </c>
      <c r="C21">
        <v>14253564</v>
      </c>
    </row>
    <row r="22" spans="2:3" x14ac:dyDescent="0.25">
      <c r="B22" s="2">
        <v>37135</v>
      </c>
      <c r="C22">
        <v>3722336</v>
      </c>
    </row>
    <row r="23" spans="2:3" x14ac:dyDescent="0.25">
      <c r="B23" s="2">
        <v>37165</v>
      </c>
      <c r="C23">
        <v>68553</v>
      </c>
    </row>
    <row r="24" spans="2:3" x14ac:dyDescent="0.25">
      <c r="B24" s="2">
        <v>37196</v>
      </c>
      <c r="C24">
        <v>2954</v>
      </c>
    </row>
    <row r="25" spans="2:3" x14ac:dyDescent="0.25">
      <c r="B25" s="2">
        <v>37226</v>
      </c>
      <c r="C25">
        <v>5222585</v>
      </c>
    </row>
    <row r="26" spans="2:3" x14ac:dyDescent="0.25">
      <c r="B26" s="2">
        <v>37257</v>
      </c>
      <c r="C26">
        <v>8582638</v>
      </c>
    </row>
    <row r="27" spans="2:3" x14ac:dyDescent="0.25">
      <c r="B27" s="2">
        <v>37288</v>
      </c>
      <c r="C27">
        <v>6278114</v>
      </c>
    </row>
    <row r="28" spans="2:3" x14ac:dyDescent="0.25">
      <c r="B28" s="2">
        <v>37316</v>
      </c>
      <c r="C28">
        <v>2273313</v>
      </c>
    </row>
    <row r="29" spans="2:3" x14ac:dyDescent="0.25">
      <c r="B29" s="2">
        <v>37347</v>
      </c>
      <c r="C29">
        <v>7496329</v>
      </c>
    </row>
    <row r="30" spans="2:3" x14ac:dyDescent="0.25">
      <c r="B30" s="2">
        <v>37377</v>
      </c>
      <c r="C30">
        <v>25271074</v>
      </c>
    </row>
    <row r="31" spans="2:3" x14ac:dyDescent="0.25">
      <c r="B31" s="2">
        <v>37408</v>
      </c>
      <c r="C31">
        <v>24675022</v>
      </c>
    </row>
    <row r="32" spans="2:3" x14ac:dyDescent="0.25">
      <c r="B32" s="2">
        <v>37438</v>
      </c>
      <c r="C32">
        <v>20131998</v>
      </c>
    </row>
    <row r="33" spans="2:3" x14ac:dyDescent="0.25">
      <c r="B33" s="2">
        <v>37469</v>
      </c>
      <c r="C33">
        <v>15300577</v>
      </c>
    </row>
    <row r="34" spans="2:3" x14ac:dyDescent="0.25">
      <c r="B34" s="2">
        <v>37500</v>
      </c>
      <c r="C34">
        <v>1919411</v>
      </c>
    </row>
    <row r="35" spans="2:3" x14ac:dyDescent="0.25">
      <c r="B35" s="2">
        <v>37530</v>
      </c>
      <c r="C35">
        <v>11144954</v>
      </c>
    </row>
    <row r="36" spans="2:3" x14ac:dyDescent="0.25">
      <c r="B36" s="2">
        <v>37561</v>
      </c>
      <c r="C36">
        <v>90351</v>
      </c>
    </row>
    <row r="37" spans="2:3" x14ac:dyDescent="0.25">
      <c r="B37" s="2">
        <v>37591</v>
      </c>
      <c r="C37">
        <v>5649171</v>
      </c>
    </row>
    <row r="38" spans="2:3" x14ac:dyDescent="0.25">
      <c r="B38" s="2">
        <v>37622</v>
      </c>
      <c r="C38">
        <v>6283421</v>
      </c>
    </row>
    <row r="39" spans="2:3" x14ac:dyDescent="0.25">
      <c r="B39" s="2">
        <v>37653</v>
      </c>
      <c r="C39">
        <v>2525973</v>
      </c>
    </row>
    <row r="40" spans="2:3" x14ac:dyDescent="0.25">
      <c r="B40" s="2">
        <v>37681</v>
      </c>
      <c r="C40">
        <v>3671795</v>
      </c>
    </row>
    <row r="41" spans="2:3" x14ac:dyDescent="0.25">
      <c r="B41" s="2">
        <v>37712</v>
      </c>
      <c r="C41">
        <v>7352435</v>
      </c>
    </row>
    <row r="42" spans="2:3" x14ac:dyDescent="0.25">
      <c r="B42" s="2">
        <v>37742</v>
      </c>
      <c r="C42">
        <v>11266884</v>
      </c>
    </row>
    <row r="43" spans="2:3" x14ac:dyDescent="0.25">
      <c r="B43" s="2">
        <v>37773</v>
      </c>
      <c r="C43">
        <v>44196655</v>
      </c>
    </row>
    <row r="44" spans="2:3" x14ac:dyDescent="0.25">
      <c r="B44" s="2">
        <v>37803</v>
      </c>
      <c r="C44">
        <v>38329803</v>
      </c>
    </row>
    <row r="45" spans="2:3" x14ac:dyDescent="0.25">
      <c r="B45" s="2">
        <v>37834</v>
      </c>
      <c r="C45">
        <v>15768581</v>
      </c>
    </row>
    <row r="46" spans="2:3" x14ac:dyDescent="0.25">
      <c r="B46" s="2">
        <v>37865</v>
      </c>
      <c r="C46">
        <v>425474</v>
      </c>
    </row>
    <row r="47" spans="2:3" x14ac:dyDescent="0.25">
      <c r="B47" s="2">
        <v>37895</v>
      </c>
      <c r="C47">
        <v>2556536</v>
      </c>
    </row>
    <row r="48" spans="2:3" x14ac:dyDescent="0.25">
      <c r="B48" s="2">
        <v>37926</v>
      </c>
      <c r="C48">
        <v>775418</v>
      </c>
    </row>
    <row r="49" spans="2:3" x14ac:dyDescent="0.25">
      <c r="B49" s="2">
        <v>37956</v>
      </c>
      <c r="C49">
        <v>9097427</v>
      </c>
    </row>
    <row r="50" spans="2:3" x14ac:dyDescent="0.25">
      <c r="B50" s="2">
        <v>37987</v>
      </c>
      <c r="C50">
        <v>7647047</v>
      </c>
    </row>
    <row r="51" spans="2:3" x14ac:dyDescent="0.25">
      <c r="B51" s="2">
        <v>38018</v>
      </c>
      <c r="C51">
        <v>1831041</v>
      </c>
    </row>
    <row r="52" spans="2:3" x14ac:dyDescent="0.25">
      <c r="B52" s="2">
        <v>38047</v>
      </c>
      <c r="C52">
        <v>8039125</v>
      </c>
    </row>
    <row r="53" spans="2:3" x14ac:dyDescent="0.25">
      <c r="B53" s="2">
        <v>38078</v>
      </c>
      <c r="C53">
        <v>2775687</v>
      </c>
    </row>
    <row r="54" spans="2:3" x14ac:dyDescent="0.25">
      <c r="B54" s="2">
        <v>38108</v>
      </c>
      <c r="C54">
        <v>21819802</v>
      </c>
    </row>
    <row r="55" spans="2:3" x14ac:dyDescent="0.25">
      <c r="B55" s="2">
        <v>38139</v>
      </c>
      <c r="C55">
        <v>16505777</v>
      </c>
    </row>
    <row r="56" spans="2:3" x14ac:dyDescent="0.25">
      <c r="B56" s="2">
        <v>38169</v>
      </c>
      <c r="C56">
        <v>2388014</v>
      </c>
    </row>
    <row r="57" spans="2:3" x14ac:dyDescent="0.25">
      <c r="B57" s="2">
        <v>38200</v>
      </c>
      <c r="C57">
        <v>15054</v>
      </c>
    </row>
    <row r="58" spans="2:3" x14ac:dyDescent="0.25">
      <c r="B58" s="2">
        <v>38231</v>
      </c>
      <c r="C58">
        <v>1433750</v>
      </c>
    </row>
    <row r="59" spans="2:3" x14ac:dyDescent="0.25">
      <c r="B59" s="2">
        <v>38261</v>
      </c>
      <c r="C59">
        <v>0</v>
      </c>
    </row>
    <row r="60" spans="2:3" x14ac:dyDescent="0.25">
      <c r="B60" s="2">
        <v>38292</v>
      </c>
      <c r="C60">
        <v>1372518</v>
      </c>
    </row>
    <row r="61" spans="2:3" x14ac:dyDescent="0.25">
      <c r="B61" s="2">
        <v>38322</v>
      </c>
      <c r="C61">
        <v>5615917</v>
      </c>
    </row>
    <row r="62" spans="2:3" x14ac:dyDescent="0.25">
      <c r="B62" s="2">
        <v>38353</v>
      </c>
      <c r="C62">
        <v>92</v>
      </c>
    </row>
    <row r="63" spans="2:3" x14ac:dyDescent="0.25">
      <c r="B63" s="2">
        <v>38384</v>
      </c>
      <c r="C63">
        <v>2926780</v>
      </c>
    </row>
    <row r="64" spans="2:3" x14ac:dyDescent="0.25">
      <c r="B64" s="2">
        <v>38412</v>
      </c>
      <c r="C64">
        <v>564445</v>
      </c>
    </row>
    <row r="65" spans="2:3" x14ac:dyDescent="0.25">
      <c r="B65" s="2">
        <v>38443</v>
      </c>
      <c r="C65">
        <v>2916195</v>
      </c>
    </row>
    <row r="66" spans="2:3" x14ac:dyDescent="0.25">
      <c r="B66" s="2">
        <v>38473</v>
      </c>
      <c r="C66">
        <v>888769</v>
      </c>
    </row>
    <row r="67" spans="2:3" x14ac:dyDescent="0.25">
      <c r="B67" s="2">
        <v>38504</v>
      </c>
      <c r="C67">
        <v>22464156</v>
      </c>
    </row>
    <row r="68" spans="2:3" x14ac:dyDescent="0.25">
      <c r="B68" s="2">
        <v>38534</v>
      </c>
      <c r="C68">
        <v>5623114</v>
      </c>
    </row>
    <row r="69" spans="2:3" x14ac:dyDescent="0.25">
      <c r="B69" s="2">
        <v>38565</v>
      </c>
      <c r="C69">
        <v>0</v>
      </c>
    </row>
    <row r="70" spans="2:3" x14ac:dyDescent="0.25">
      <c r="B70" s="2">
        <v>38596</v>
      </c>
      <c r="C70">
        <v>991424</v>
      </c>
    </row>
    <row r="71" spans="2:3" x14ac:dyDescent="0.25">
      <c r="B71" s="2">
        <v>38626</v>
      </c>
      <c r="C71">
        <v>239448</v>
      </c>
    </row>
    <row r="72" spans="2:3" x14ac:dyDescent="0.25">
      <c r="B72" s="2">
        <v>38657</v>
      </c>
      <c r="C72">
        <v>969248</v>
      </c>
    </row>
    <row r="73" spans="2:3" x14ac:dyDescent="0.25">
      <c r="B73" s="2">
        <v>38687</v>
      </c>
      <c r="C73">
        <v>2659067</v>
      </c>
    </row>
    <row r="74" spans="2:3" x14ac:dyDescent="0.25">
      <c r="B74" s="2">
        <v>38718</v>
      </c>
      <c r="C74">
        <v>4939867</v>
      </c>
    </row>
    <row r="75" spans="2:3" x14ac:dyDescent="0.25">
      <c r="B75" s="2">
        <v>38749</v>
      </c>
      <c r="C75">
        <v>3186817</v>
      </c>
    </row>
    <row r="76" spans="2:3" x14ac:dyDescent="0.25">
      <c r="B76" s="2">
        <v>38777</v>
      </c>
      <c r="C76">
        <v>3401741</v>
      </c>
    </row>
    <row r="77" spans="2:3" x14ac:dyDescent="0.25">
      <c r="B77" s="2">
        <v>38808</v>
      </c>
      <c r="C77">
        <v>11901968</v>
      </c>
    </row>
    <row r="78" spans="2:3" x14ac:dyDescent="0.25">
      <c r="B78" s="2">
        <v>38838</v>
      </c>
      <c r="C78">
        <v>2684520</v>
      </c>
    </row>
    <row r="79" spans="2:3" x14ac:dyDescent="0.25">
      <c r="B79" s="2">
        <v>38869</v>
      </c>
      <c r="C79">
        <v>4594261</v>
      </c>
    </row>
    <row r="80" spans="2:3" x14ac:dyDescent="0.25">
      <c r="B80" s="2">
        <v>38899</v>
      </c>
      <c r="C80">
        <v>14581</v>
      </c>
    </row>
    <row r="81" spans="2:3" x14ac:dyDescent="0.25">
      <c r="B81" s="2">
        <v>38930</v>
      </c>
      <c r="C81">
        <v>41382</v>
      </c>
    </row>
    <row r="82" spans="2:3" x14ac:dyDescent="0.25">
      <c r="B82" s="2">
        <v>38961</v>
      </c>
      <c r="C82">
        <v>32794</v>
      </c>
    </row>
    <row r="83" spans="2:3" x14ac:dyDescent="0.25">
      <c r="B83" s="2">
        <v>38991</v>
      </c>
      <c r="C83">
        <v>930008</v>
      </c>
    </row>
    <row r="84" spans="2:3" x14ac:dyDescent="0.25">
      <c r="B84" s="2">
        <v>39022</v>
      </c>
      <c r="C84">
        <v>2160573</v>
      </c>
    </row>
    <row r="85" spans="2:3" x14ac:dyDescent="0.25">
      <c r="B85" s="2">
        <v>39052</v>
      </c>
      <c r="C85">
        <v>2730143</v>
      </c>
    </row>
    <row r="86" spans="2:3" x14ac:dyDescent="0.25">
      <c r="B86" s="2">
        <v>39083</v>
      </c>
      <c r="C86">
        <v>61857</v>
      </c>
    </row>
    <row r="87" spans="2:3" x14ac:dyDescent="0.25">
      <c r="B87" s="2">
        <v>39114</v>
      </c>
      <c r="C87">
        <v>89413</v>
      </c>
    </row>
    <row r="88" spans="2:3" x14ac:dyDescent="0.25">
      <c r="B88" s="2">
        <v>39142</v>
      </c>
      <c r="C88">
        <v>631253</v>
      </c>
    </row>
    <row r="89" spans="2:3" x14ac:dyDescent="0.25">
      <c r="B89" s="2">
        <v>39173</v>
      </c>
      <c r="C89">
        <v>219872</v>
      </c>
    </row>
    <row r="90" spans="2:3" x14ac:dyDescent="0.25">
      <c r="B90" s="2">
        <v>39203</v>
      </c>
      <c r="C90">
        <v>14948644</v>
      </c>
    </row>
    <row r="91" spans="2:3" x14ac:dyDescent="0.25">
      <c r="B91" s="2">
        <v>39234</v>
      </c>
      <c r="C91">
        <v>6526977</v>
      </c>
    </row>
    <row r="92" spans="2:3" x14ac:dyDescent="0.25">
      <c r="B92" s="2">
        <v>39264</v>
      </c>
      <c r="C92">
        <v>333343</v>
      </c>
    </row>
    <row r="93" spans="2:3" x14ac:dyDescent="0.25">
      <c r="B93" s="2">
        <v>39295</v>
      </c>
      <c r="C93">
        <v>201384</v>
      </c>
    </row>
    <row r="94" spans="2:3" x14ac:dyDescent="0.25">
      <c r="B94" s="2">
        <v>39326</v>
      </c>
      <c r="C94">
        <v>187317</v>
      </c>
    </row>
    <row r="95" spans="2:3" x14ac:dyDescent="0.25">
      <c r="B95" s="2">
        <v>39356</v>
      </c>
      <c r="C95">
        <v>1283194</v>
      </c>
    </row>
    <row r="96" spans="2:3" x14ac:dyDescent="0.25">
      <c r="B96" s="2">
        <v>39387</v>
      </c>
      <c r="C96">
        <v>657423</v>
      </c>
    </row>
    <row r="97" spans="2:3" x14ac:dyDescent="0.25">
      <c r="B97" s="2">
        <v>39417</v>
      </c>
      <c r="C97">
        <v>8585924</v>
      </c>
    </row>
    <row r="98" spans="2:3" x14ac:dyDescent="0.25">
      <c r="B98" s="2">
        <v>39448</v>
      </c>
      <c r="C98">
        <v>185454</v>
      </c>
    </row>
    <row r="99" spans="2:3" x14ac:dyDescent="0.25">
      <c r="B99" s="2">
        <v>39479</v>
      </c>
      <c r="C99">
        <v>329021</v>
      </c>
    </row>
    <row r="100" spans="2:3" x14ac:dyDescent="0.25">
      <c r="B100" s="2">
        <v>39508</v>
      </c>
      <c r="C100">
        <v>1192921</v>
      </c>
    </row>
    <row r="101" spans="2:3" x14ac:dyDescent="0.25">
      <c r="B101" s="2">
        <v>39539</v>
      </c>
      <c r="C101">
        <v>581849</v>
      </c>
    </row>
    <row r="102" spans="2:3" x14ac:dyDescent="0.25">
      <c r="B102" s="2">
        <v>39569</v>
      </c>
      <c r="C102">
        <v>21416280</v>
      </c>
    </row>
    <row r="103" spans="2:3" x14ac:dyDescent="0.25">
      <c r="B103" s="2">
        <v>39600</v>
      </c>
      <c r="C103">
        <v>1838064</v>
      </c>
    </row>
    <row r="104" spans="2:3" x14ac:dyDescent="0.25">
      <c r="B104" s="2">
        <v>39630</v>
      </c>
      <c r="C104">
        <v>5630489</v>
      </c>
    </row>
    <row r="105" spans="2:3" x14ac:dyDescent="0.25">
      <c r="B105" s="2">
        <v>39661</v>
      </c>
      <c r="C105">
        <v>314436</v>
      </c>
    </row>
    <row r="106" spans="2:3" x14ac:dyDescent="0.25">
      <c r="B106" s="2">
        <v>39692</v>
      </c>
      <c r="C106">
        <v>2777577</v>
      </c>
    </row>
    <row r="107" spans="2:3" x14ac:dyDescent="0.25">
      <c r="B107" s="2">
        <v>39722</v>
      </c>
      <c r="C107">
        <v>6321081</v>
      </c>
    </row>
    <row r="108" spans="2:3" x14ac:dyDescent="0.25">
      <c r="B108" s="2">
        <v>39753</v>
      </c>
      <c r="C108">
        <v>492718</v>
      </c>
    </row>
    <row r="109" spans="2:3" x14ac:dyDescent="0.25">
      <c r="B109" s="2">
        <v>39783</v>
      </c>
      <c r="C109">
        <v>2004777</v>
      </c>
    </row>
    <row r="110" spans="2:3" x14ac:dyDescent="0.25">
      <c r="B110" s="2">
        <v>39814</v>
      </c>
      <c r="C110">
        <v>2306982</v>
      </c>
    </row>
    <row r="111" spans="2:3" x14ac:dyDescent="0.25">
      <c r="B111" s="2">
        <v>39845</v>
      </c>
      <c r="C111">
        <v>1092647</v>
      </c>
    </row>
    <row r="112" spans="2:3" x14ac:dyDescent="0.25">
      <c r="B112" s="2">
        <v>39873</v>
      </c>
      <c r="C112">
        <v>54278</v>
      </c>
    </row>
    <row r="113" spans="2:3" x14ac:dyDescent="0.25">
      <c r="B113" s="2">
        <v>39904</v>
      </c>
      <c r="C113">
        <v>6350933</v>
      </c>
    </row>
    <row r="114" spans="2:3" x14ac:dyDescent="0.25">
      <c r="B114" s="2">
        <v>39934</v>
      </c>
      <c r="C114">
        <v>11049422</v>
      </c>
    </row>
    <row r="115" spans="2:3" x14ac:dyDescent="0.25">
      <c r="B115" s="2">
        <v>39965</v>
      </c>
      <c r="C115">
        <v>5935683</v>
      </c>
    </row>
    <row r="116" spans="2:3" x14ac:dyDescent="0.25">
      <c r="B116" s="2">
        <v>39995</v>
      </c>
      <c r="C116">
        <v>5041877</v>
      </c>
    </row>
    <row r="117" spans="2:3" x14ac:dyDescent="0.25">
      <c r="B117" s="2">
        <v>40026</v>
      </c>
      <c r="C117">
        <v>1669380</v>
      </c>
    </row>
    <row r="118" spans="2:3" x14ac:dyDescent="0.25">
      <c r="B118" s="2">
        <v>40057</v>
      </c>
      <c r="C118">
        <v>453597</v>
      </c>
    </row>
    <row r="119" spans="2:3" x14ac:dyDescent="0.25">
      <c r="B119" s="2">
        <v>40087</v>
      </c>
      <c r="C119">
        <v>1445908</v>
      </c>
    </row>
    <row r="120" spans="2:3" x14ac:dyDescent="0.25">
      <c r="B120" s="2">
        <v>40118</v>
      </c>
      <c r="C120">
        <v>551455</v>
      </c>
    </row>
    <row r="121" spans="2:3" x14ac:dyDescent="0.25">
      <c r="B121" s="2">
        <v>40148</v>
      </c>
      <c r="C121">
        <v>1514169</v>
      </c>
    </row>
    <row r="122" spans="2:3" x14ac:dyDescent="0.25">
      <c r="B122" s="2">
        <v>40179</v>
      </c>
      <c r="C122">
        <v>3316210</v>
      </c>
    </row>
    <row r="123" spans="2:3" x14ac:dyDescent="0.25">
      <c r="B123" s="2">
        <v>40210</v>
      </c>
      <c r="C123">
        <v>6376900</v>
      </c>
    </row>
    <row r="124" spans="2:3" x14ac:dyDescent="0.25">
      <c r="B124" s="2">
        <v>40238</v>
      </c>
      <c r="C124">
        <v>2700390</v>
      </c>
    </row>
    <row r="125" spans="2:3" x14ac:dyDescent="0.25">
      <c r="B125" s="2">
        <v>40269</v>
      </c>
      <c r="C125">
        <v>277787</v>
      </c>
    </row>
    <row r="126" spans="2:3" x14ac:dyDescent="0.25">
      <c r="B126" s="2">
        <v>40299</v>
      </c>
      <c r="C126">
        <v>4051967</v>
      </c>
    </row>
    <row r="127" spans="2:3" x14ac:dyDescent="0.25">
      <c r="B127" s="2">
        <v>40330</v>
      </c>
      <c r="C127">
        <v>6457441</v>
      </c>
    </row>
    <row r="128" spans="2:3" x14ac:dyDescent="0.25">
      <c r="B128" s="2">
        <v>40360</v>
      </c>
      <c r="C128">
        <v>4421160</v>
      </c>
    </row>
    <row r="129" spans="2:3" x14ac:dyDescent="0.25">
      <c r="B129" s="2">
        <v>40391</v>
      </c>
      <c r="C129">
        <v>4896836</v>
      </c>
    </row>
    <row r="130" spans="2:3" x14ac:dyDescent="0.25">
      <c r="B130" s="2">
        <v>40422</v>
      </c>
      <c r="C130">
        <v>6891583</v>
      </c>
    </row>
    <row r="131" spans="2:3" x14ac:dyDescent="0.25">
      <c r="B131" s="2">
        <v>40452</v>
      </c>
      <c r="C131">
        <v>641039</v>
      </c>
    </row>
    <row r="132" spans="2:3" x14ac:dyDescent="0.25">
      <c r="B132" s="2">
        <v>40483</v>
      </c>
      <c r="C132">
        <v>19700</v>
      </c>
    </row>
    <row r="133" spans="2:3" x14ac:dyDescent="0.25">
      <c r="B133" s="2">
        <v>40513</v>
      </c>
      <c r="C133">
        <v>4445865</v>
      </c>
    </row>
    <row r="134" spans="2:3" x14ac:dyDescent="0.25">
      <c r="B134" s="2">
        <v>40544</v>
      </c>
      <c r="C134">
        <v>6581480</v>
      </c>
    </row>
    <row r="135" spans="2:3" x14ac:dyDescent="0.25">
      <c r="B135" s="2">
        <v>40575</v>
      </c>
      <c r="C135">
        <v>7408146</v>
      </c>
    </row>
    <row r="136" spans="2:3" x14ac:dyDescent="0.25">
      <c r="B136" s="2">
        <v>40603</v>
      </c>
      <c r="C136">
        <v>4942909</v>
      </c>
    </row>
    <row r="137" spans="2:3" x14ac:dyDescent="0.25">
      <c r="B137" s="2">
        <v>40634</v>
      </c>
      <c r="C137">
        <v>8091318</v>
      </c>
    </row>
    <row r="138" spans="2:3" x14ac:dyDescent="0.25">
      <c r="B138" s="2">
        <v>40664</v>
      </c>
      <c r="C138">
        <v>16718821</v>
      </c>
    </row>
    <row r="139" spans="2:3" x14ac:dyDescent="0.25">
      <c r="B139" s="2">
        <v>40695</v>
      </c>
      <c r="C139">
        <v>11575764</v>
      </c>
    </row>
    <row r="140" spans="2:3" x14ac:dyDescent="0.25">
      <c r="B140" s="2">
        <v>40725</v>
      </c>
      <c r="C140">
        <v>7597394</v>
      </c>
    </row>
    <row r="141" spans="2:3" x14ac:dyDescent="0.25">
      <c r="B141" s="2">
        <v>40756</v>
      </c>
      <c r="C141">
        <v>998907</v>
      </c>
    </row>
    <row r="142" spans="2:3" x14ac:dyDescent="0.25">
      <c r="B142" s="2">
        <v>40787</v>
      </c>
      <c r="C142">
        <v>232569</v>
      </c>
    </row>
    <row r="143" spans="2:3" x14ac:dyDescent="0.25">
      <c r="B143" s="2">
        <v>40817</v>
      </c>
      <c r="C143">
        <v>458897</v>
      </c>
    </row>
    <row r="144" spans="2:3" x14ac:dyDescent="0.25">
      <c r="B144" s="2">
        <v>40848</v>
      </c>
      <c r="C144">
        <v>5007070</v>
      </c>
    </row>
    <row r="145" spans="2:3" x14ac:dyDescent="0.25">
      <c r="B145" s="2">
        <v>40878</v>
      </c>
      <c r="C145">
        <v>6093828</v>
      </c>
    </row>
    <row r="146" spans="2:3" x14ac:dyDescent="0.25">
      <c r="B146" s="2">
        <v>40909</v>
      </c>
      <c r="C146">
        <v>3194663</v>
      </c>
    </row>
    <row r="147" spans="2:3" x14ac:dyDescent="0.25">
      <c r="B147" s="2">
        <v>40940</v>
      </c>
      <c r="C147">
        <v>3182927</v>
      </c>
    </row>
    <row r="148" spans="2:3" x14ac:dyDescent="0.25">
      <c r="B148" s="2">
        <v>40969</v>
      </c>
      <c r="C148">
        <v>320007</v>
      </c>
    </row>
    <row r="149" spans="2:3" x14ac:dyDescent="0.25">
      <c r="B149" s="2">
        <v>41000</v>
      </c>
      <c r="C149">
        <v>3833273</v>
      </c>
    </row>
    <row r="150" spans="2:3" x14ac:dyDescent="0.25">
      <c r="B150" s="2">
        <v>41030</v>
      </c>
      <c r="C150">
        <v>91530</v>
      </c>
    </row>
    <row r="151" spans="2:3" x14ac:dyDescent="0.25">
      <c r="B151" s="2">
        <v>41061</v>
      </c>
      <c r="C151">
        <v>1283500</v>
      </c>
    </row>
    <row r="152" spans="2:3" x14ac:dyDescent="0.25">
      <c r="B152" s="2">
        <v>41091</v>
      </c>
      <c r="C152">
        <v>2154627</v>
      </c>
    </row>
    <row r="153" spans="2:3" x14ac:dyDescent="0.25">
      <c r="B153" s="2">
        <v>41122</v>
      </c>
      <c r="C153">
        <v>234266</v>
      </c>
    </row>
    <row r="154" spans="2:3" x14ac:dyDescent="0.25">
      <c r="B154" s="2">
        <v>41153</v>
      </c>
      <c r="C154">
        <v>1193193</v>
      </c>
    </row>
    <row r="155" spans="2:3" x14ac:dyDescent="0.25">
      <c r="B155" s="2">
        <v>41183</v>
      </c>
      <c r="C155">
        <v>12996328</v>
      </c>
    </row>
    <row r="156" spans="2:3" x14ac:dyDescent="0.25">
      <c r="B156" s="2">
        <v>41214</v>
      </c>
      <c r="C156">
        <v>12503571</v>
      </c>
    </row>
    <row r="157" spans="2:3" x14ac:dyDescent="0.25">
      <c r="B157" s="2">
        <v>41244</v>
      </c>
      <c r="C157">
        <v>15838073</v>
      </c>
    </row>
    <row r="158" spans="2:3" x14ac:dyDescent="0.25">
      <c r="B158" s="2">
        <v>41275</v>
      </c>
      <c r="C158">
        <v>48827</v>
      </c>
    </row>
    <row r="159" spans="2:3" x14ac:dyDescent="0.25">
      <c r="B159" s="2">
        <v>41306</v>
      </c>
      <c r="C159">
        <v>0</v>
      </c>
    </row>
    <row r="160" spans="2:3" x14ac:dyDescent="0.25">
      <c r="B160" s="2">
        <v>41334</v>
      </c>
      <c r="C160">
        <v>0</v>
      </c>
    </row>
    <row r="161" spans="2:3" x14ac:dyDescent="0.25">
      <c r="B161" s="2">
        <v>41365</v>
      </c>
      <c r="C161">
        <v>5311528</v>
      </c>
    </row>
    <row r="162" spans="2:3" x14ac:dyDescent="0.25">
      <c r="B162" s="2">
        <v>41395</v>
      </c>
      <c r="C162">
        <v>5045682</v>
      </c>
    </row>
    <row r="163" spans="2:3" x14ac:dyDescent="0.25">
      <c r="B163" s="2">
        <v>41426</v>
      </c>
      <c r="C163">
        <v>4927138</v>
      </c>
    </row>
    <row r="164" spans="2:3" x14ac:dyDescent="0.25">
      <c r="B164" s="2">
        <v>41456</v>
      </c>
      <c r="C164">
        <v>14604</v>
      </c>
    </row>
    <row r="165" spans="2:3" x14ac:dyDescent="0.25">
      <c r="B165" s="2">
        <v>41487</v>
      </c>
      <c r="C165">
        <v>1287308</v>
      </c>
    </row>
    <row r="166" spans="2:3" x14ac:dyDescent="0.25">
      <c r="B166" s="2">
        <v>41518</v>
      </c>
      <c r="C166">
        <v>24548</v>
      </c>
    </row>
    <row r="167" spans="2:3" x14ac:dyDescent="0.25">
      <c r="B167" s="2">
        <v>41548</v>
      </c>
      <c r="C167">
        <v>764611</v>
      </c>
    </row>
    <row r="168" spans="2:3" x14ac:dyDescent="0.25">
      <c r="B168" s="2">
        <v>41579</v>
      </c>
      <c r="C168">
        <v>639682</v>
      </c>
    </row>
    <row r="169" spans="2:3" x14ac:dyDescent="0.25">
      <c r="B169" s="2">
        <v>41609</v>
      </c>
      <c r="C169">
        <v>1362196</v>
      </c>
    </row>
    <row r="170" spans="2:3" x14ac:dyDescent="0.25">
      <c r="B170" s="2">
        <v>41640</v>
      </c>
      <c r="C170">
        <v>144403</v>
      </c>
    </row>
    <row r="171" spans="2:3" x14ac:dyDescent="0.25">
      <c r="B171" s="2">
        <v>41671</v>
      </c>
      <c r="C171">
        <v>684396</v>
      </c>
    </row>
    <row r="172" spans="2:3" x14ac:dyDescent="0.25">
      <c r="B172" s="2">
        <v>41699</v>
      </c>
      <c r="C172">
        <v>554239</v>
      </c>
    </row>
    <row r="173" spans="2:3" x14ac:dyDescent="0.25">
      <c r="B173" s="2">
        <v>41730</v>
      </c>
      <c r="C173">
        <v>4940450</v>
      </c>
    </row>
    <row r="174" spans="2:3" x14ac:dyDescent="0.25">
      <c r="B174" s="2">
        <v>41760</v>
      </c>
      <c r="C174">
        <v>4777666</v>
      </c>
    </row>
    <row r="175" spans="2:3" x14ac:dyDescent="0.25">
      <c r="B175" s="2">
        <v>41791</v>
      </c>
      <c r="C175">
        <v>7012154</v>
      </c>
    </row>
    <row r="176" spans="2:3" x14ac:dyDescent="0.25">
      <c r="B176" s="2">
        <v>41821</v>
      </c>
      <c r="C176">
        <v>342837</v>
      </c>
    </row>
    <row r="177" spans="2:3" x14ac:dyDescent="0.25">
      <c r="B177" s="2">
        <v>41852</v>
      </c>
      <c r="C177">
        <v>8489775</v>
      </c>
    </row>
    <row r="178" spans="2:3" x14ac:dyDescent="0.25">
      <c r="B178" s="2">
        <v>41883</v>
      </c>
      <c r="C178">
        <v>0</v>
      </c>
    </row>
    <row r="179" spans="2:3" x14ac:dyDescent="0.25">
      <c r="B179" s="2">
        <v>41913</v>
      </c>
      <c r="C179">
        <v>1805576</v>
      </c>
    </row>
    <row r="180" spans="2:3" x14ac:dyDescent="0.25">
      <c r="B180" s="2">
        <v>41944</v>
      </c>
      <c r="C180">
        <v>1188109</v>
      </c>
    </row>
    <row r="181" spans="2:3" x14ac:dyDescent="0.25">
      <c r="B181" s="2">
        <v>41974</v>
      </c>
      <c r="C181">
        <v>17993306</v>
      </c>
    </row>
    <row r="182" spans="2:3" x14ac:dyDescent="0.25">
      <c r="B182" s="2">
        <v>42005</v>
      </c>
      <c r="C182">
        <v>418578</v>
      </c>
    </row>
    <row r="183" spans="2:3" x14ac:dyDescent="0.25">
      <c r="B183" s="2">
        <v>42036</v>
      </c>
      <c r="C183">
        <v>208</v>
      </c>
    </row>
    <row r="184" spans="2:3" x14ac:dyDescent="0.25">
      <c r="B184" s="2">
        <v>42064</v>
      </c>
      <c r="C184">
        <v>72591</v>
      </c>
    </row>
    <row r="185" spans="2:3" x14ac:dyDescent="0.25">
      <c r="B185" s="2">
        <v>42095</v>
      </c>
      <c r="C185">
        <v>2629964</v>
      </c>
    </row>
    <row r="186" spans="2:3" x14ac:dyDescent="0.25">
      <c r="B186" s="2">
        <v>42125</v>
      </c>
      <c r="C186">
        <v>5998161</v>
      </c>
    </row>
    <row r="187" spans="2:3" x14ac:dyDescent="0.25">
      <c r="B187" s="2">
        <v>42156</v>
      </c>
      <c r="C187">
        <v>4900578</v>
      </c>
    </row>
    <row r="188" spans="2:3" x14ac:dyDescent="0.25">
      <c r="B188" s="2">
        <v>42186</v>
      </c>
      <c r="C188">
        <v>714152</v>
      </c>
    </row>
    <row r="189" spans="2:3" x14ac:dyDescent="0.25">
      <c r="B189" s="2">
        <v>42217</v>
      </c>
      <c r="C189">
        <v>4315525</v>
      </c>
    </row>
    <row r="190" spans="2:3" x14ac:dyDescent="0.25">
      <c r="B190" s="2">
        <v>42248</v>
      </c>
      <c r="C190">
        <v>2251955</v>
      </c>
    </row>
    <row r="191" spans="2:3" x14ac:dyDescent="0.25">
      <c r="B191" s="2">
        <v>42278</v>
      </c>
      <c r="C191">
        <v>894766</v>
      </c>
    </row>
    <row r="192" spans="2:3" x14ac:dyDescent="0.25">
      <c r="B192" s="2">
        <v>42309</v>
      </c>
      <c r="C192">
        <v>3516572</v>
      </c>
    </row>
    <row r="193" spans="2:3" x14ac:dyDescent="0.25">
      <c r="B193" s="2">
        <v>42339</v>
      </c>
      <c r="C193">
        <v>4148736</v>
      </c>
    </row>
    <row r="194" spans="2:3" x14ac:dyDescent="0.25">
      <c r="B194" s="2">
        <v>42370</v>
      </c>
      <c r="C194">
        <v>1733762</v>
      </c>
    </row>
    <row r="195" spans="2:3" x14ac:dyDescent="0.25">
      <c r="B195" s="2">
        <v>42401</v>
      </c>
      <c r="C195">
        <v>4772471</v>
      </c>
    </row>
    <row r="196" spans="2:3" x14ac:dyDescent="0.25">
      <c r="B196" s="2">
        <v>42430</v>
      </c>
      <c r="C196">
        <v>624470</v>
      </c>
    </row>
    <row r="197" spans="2:3" x14ac:dyDescent="0.25">
      <c r="B197" s="2">
        <v>42461</v>
      </c>
      <c r="C197">
        <v>8990717</v>
      </c>
    </row>
    <row r="198" spans="2:3" x14ac:dyDescent="0.25">
      <c r="B198" s="2">
        <v>42491</v>
      </c>
      <c r="C198">
        <v>1883099</v>
      </c>
    </row>
    <row r="199" spans="2:3" x14ac:dyDescent="0.25">
      <c r="B199" s="2">
        <v>42522</v>
      </c>
      <c r="C199">
        <v>15948714</v>
      </c>
    </row>
    <row r="200" spans="2:3" x14ac:dyDescent="0.25">
      <c r="B200" s="2">
        <v>42552</v>
      </c>
      <c r="C200">
        <v>9188216</v>
      </c>
    </row>
    <row r="201" spans="2:3" x14ac:dyDescent="0.25">
      <c r="B201" s="2">
        <v>42583</v>
      </c>
      <c r="C201">
        <v>663874</v>
      </c>
    </row>
    <row r="202" spans="2:3" x14ac:dyDescent="0.25">
      <c r="B202" s="2">
        <v>42614</v>
      </c>
      <c r="C202">
        <v>1163677</v>
      </c>
    </row>
    <row r="203" spans="2:3" x14ac:dyDescent="0.25">
      <c r="B203" s="2">
        <v>42644</v>
      </c>
      <c r="C203">
        <v>955826</v>
      </c>
    </row>
    <row r="204" spans="2:3" x14ac:dyDescent="0.25">
      <c r="B204" s="2">
        <v>42675</v>
      </c>
      <c r="C204">
        <v>315208</v>
      </c>
    </row>
    <row r="205" spans="2:3" x14ac:dyDescent="0.25">
      <c r="B205" s="2">
        <v>42705</v>
      </c>
      <c r="C205">
        <v>22433983</v>
      </c>
    </row>
    <row r="206" spans="2:3" x14ac:dyDescent="0.25">
      <c r="B206" s="2">
        <v>42736</v>
      </c>
      <c r="C206">
        <v>5893994</v>
      </c>
    </row>
    <row r="207" spans="2:3" x14ac:dyDescent="0.25">
      <c r="B207" s="2">
        <v>42767</v>
      </c>
      <c r="C207">
        <v>3371738</v>
      </c>
    </row>
    <row r="208" spans="2:3" x14ac:dyDescent="0.25">
      <c r="B208" s="2">
        <v>42795</v>
      </c>
      <c r="C208">
        <v>2958318</v>
      </c>
    </row>
    <row r="209" spans="2:3" x14ac:dyDescent="0.25">
      <c r="B209" s="2">
        <v>42826</v>
      </c>
      <c r="C209">
        <v>8619259</v>
      </c>
    </row>
    <row r="210" spans="2:3" x14ac:dyDescent="0.25">
      <c r="B210" s="2">
        <v>42856</v>
      </c>
      <c r="C210">
        <v>564397</v>
      </c>
    </row>
    <row r="211" spans="2:3" x14ac:dyDescent="0.25">
      <c r="B211" s="2">
        <v>42887</v>
      </c>
      <c r="C211">
        <v>10529953</v>
      </c>
    </row>
    <row r="212" spans="2:3" x14ac:dyDescent="0.25">
      <c r="B212" s="2">
        <v>42917</v>
      </c>
      <c r="C212">
        <v>8170090</v>
      </c>
    </row>
    <row r="213" spans="2:3" x14ac:dyDescent="0.25">
      <c r="B213" s="2">
        <v>42948</v>
      </c>
      <c r="C213">
        <v>473076</v>
      </c>
    </row>
    <row r="214" spans="2:3" x14ac:dyDescent="0.25">
      <c r="B214" s="2">
        <v>42979</v>
      </c>
      <c r="C214">
        <v>632403</v>
      </c>
    </row>
    <row r="215" spans="2:3" x14ac:dyDescent="0.25">
      <c r="B215" s="2">
        <v>43009</v>
      </c>
      <c r="C215">
        <v>373665</v>
      </c>
    </row>
    <row r="216" spans="2:3" x14ac:dyDescent="0.25">
      <c r="B216" s="2">
        <v>43040</v>
      </c>
      <c r="C216">
        <v>2438440</v>
      </c>
    </row>
    <row r="217" spans="2:3" x14ac:dyDescent="0.25">
      <c r="B217" s="2">
        <v>43070</v>
      </c>
      <c r="C217">
        <v>11671488</v>
      </c>
    </row>
    <row r="218" spans="2:3" x14ac:dyDescent="0.25">
      <c r="B218" s="2">
        <v>43101</v>
      </c>
      <c r="C218">
        <v>3186624</v>
      </c>
    </row>
    <row r="219" spans="2:3" x14ac:dyDescent="0.25">
      <c r="B219" s="2">
        <v>43132</v>
      </c>
      <c r="C219">
        <v>500519</v>
      </c>
    </row>
    <row r="220" spans="2:3" x14ac:dyDescent="0.25">
      <c r="B220" s="2">
        <v>43160</v>
      </c>
      <c r="C220">
        <v>746365</v>
      </c>
    </row>
    <row r="221" spans="2:3" x14ac:dyDescent="0.25">
      <c r="B221" s="2">
        <v>43191</v>
      </c>
      <c r="C221">
        <v>21827955</v>
      </c>
    </row>
    <row r="222" spans="2:3" x14ac:dyDescent="0.25">
      <c r="B222" s="2">
        <v>43221</v>
      </c>
      <c r="C222">
        <v>10312860</v>
      </c>
    </row>
    <row r="223" spans="2:3" x14ac:dyDescent="0.25">
      <c r="B223" s="2">
        <v>43252</v>
      </c>
      <c r="C223">
        <v>7452629</v>
      </c>
    </row>
    <row r="224" spans="2:3" x14ac:dyDescent="0.25">
      <c r="B224" s="2">
        <v>43282</v>
      </c>
      <c r="C224">
        <v>3500983</v>
      </c>
    </row>
    <row r="225" spans="2:3" x14ac:dyDescent="0.25">
      <c r="B225" s="2">
        <v>43313</v>
      </c>
      <c r="C225">
        <v>2406216</v>
      </c>
    </row>
    <row r="226" spans="2:3" x14ac:dyDescent="0.25">
      <c r="B226" s="2">
        <v>43344</v>
      </c>
      <c r="C226">
        <v>5886206</v>
      </c>
    </row>
    <row r="227" spans="2:3" x14ac:dyDescent="0.25">
      <c r="B227" s="2">
        <v>43374</v>
      </c>
      <c r="C227">
        <v>5001506</v>
      </c>
    </row>
    <row r="228" spans="2:3" x14ac:dyDescent="0.25">
      <c r="B228" s="2">
        <v>43405</v>
      </c>
      <c r="C228">
        <v>11947720</v>
      </c>
    </row>
    <row r="229" spans="2:3" x14ac:dyDescent="0.25">
      <c r="B229" s="2">
        <v>43435</v>
      </c>
      <c r="C229">
        <v>28017522</v>
      </c>
    </row>
    <row r="230" spans="2:3" x14ac:dyDescent="0.25">
      <c r="B230" s="2">
        <v>43466</v>
      </c>
      <c r="C230">
        <v>2600036</v>
      </c>
    </row>
    <row r="231" spans="2:3" x14ac:dyDescent="0.25">
      <c r="B231" s="2">
        <v>43497</v>
      </c>
      <c r="C231">
        <v>1292975</v>
      </c>
    </row>
    <row r="232" spans="2:3" x14ac:dyDescent="0.25">
      <c r="B232" s="2">
        <v>43525</v>
      </c>
      <c r="C232">
        <v>15257508</v>
      </c>
    </row>
    <row r="233" spans="2:3" x14ac:dyDescent="0.25">
      <c r="B233" s="2">
        <v>43556</v>
      </c>
      <c r="C233">
        <v>690300</v>
      </c>
    </row>
    <row r="234" spans="2:3" x14ac:dyDescent="0.25">
      <c r="B234" s="2">
        <v>43586</v>
      </c>
      <c r="C234">
        <v>6435388</v>
      </c>
    </row>
    <row r="235" spans="2:3" x14ac:dyDescent="0.25">
      <c r="B235" s="2">
        <v>43617</v>
      </c>
      <c r="C235">
        <v>5606362</v>
      </c>
    </row>
    <row r="236" spans="2:3" x14ac:dyDescent="0.25">
      <c r="B236" s="2">
        <v>43647</v>
      </c>
      <c r="C236">
        <v>1529705</v>
      </c>
    </row>
    <row r="237" spans="2:3" x14ac:dyDescent="0.25">
      <c r="B237" s="2">
        <v>43678</v>
      </c>
      <c r="C237">
        <v>1211867</v>
      </c>
    </row>
    <row r="238" spans="2:3" x14ac:dyDescent="0.25">
      <c r="B238" s="2">
        <v>43709</v>
      </c>
      <c r="C238">
        <v>2777192</v>
      </c>
    </row>
    <row r="239" spans="2:3" x14ac:dyDescent="0.25">
      <c r="B239" s="2">
        <v>43739</v>
      </c>
      <c r="C239">
        <v>519642</v>
      </c>
    </row>
    <row r="240" spans="2:3" x14ac:dyDescent="0.25">
      <c r="B240" s="2">
        <v>43770</v>
      </c>
      <c r="C240">
        <v>3442509</v>
      </c>
    </row>
    <row r="241" spans="2:3" x14ac:dyDescent="0.25">
      <c r="B241" s="2">
        <v>43800</v>
      </c>
      <c r="C241">
        <v>15229561</v>
      </c>
    </row>
    <row r="242" spans="2:3" x14ac:dyDescent="0.25">
      <c r="B242" s="2">
        <v>43831</v>
      </c>
      <c r="C242">
        <v>5162882</v>
      </c>
    </row>
    <row r="243" spans="2:3" x14ac:dyDescent="0.25">
      <c r="B243" s="2">
        <v>43862</v>
      </c>
      <c r="C243">
        <v>4707805</v>
      </c>
    </row>
    <row r="244" spans="2:3" x14ac:dyDescent="0.25">
      <c r="B244" s="2">
        <v>43891</v>
      </c>
      <c r="C244">
        <v>8683372</v>
      </c>
    </row>
    <row r="245" spans="2:3" x14ac:dyDescent="0.25">
      <c r="B245" s="2">
        <v>43922</v>
      </c>
      <c r="C245">
        <v>8814647</v>
      </c>
    </row>
    <row r="246" spans="2:3" x14ac:dyDescent="0.25">
      <c r="B246" s="2">
        <v>43952</v>
      </c>
      <c r="C246">
        <v>6686170</v>
      </c>
    </row>
    <row r="247" spans="2:3" x14ac:dyDescent="0.25">
      <c r="B247" s="2">
        <v>43983</v>
      </c>
      <c r="C247">
        <v>4033597</v>
      </c>
    </row>
    <row r="248" spans="2:3" x14ac:dyDescent="0.25">
      <c r="B248" s="2">
        <v>44013</v>
      </c>
      <c r="C248">
        <v>1364330</v>
      </c>
    </row>
    <row r="249" spans="2:3" x14ac:dyDescent="0.25">
      <c r="B249" s="2">
        <v>44044</v>
      </c>
      <c r="C249">
        <v>1497231</v>
      </c>
    </row>
    <row r="250" spans="2:3" x14ac:dyDescent="0.25">
      <c r="B250" s="2">
        <v>44075</v>
      </c>
      <c r="C250">
        <v>5534295</v>
      </c>
    </row>
    <row r="251" spans="2:3" x14ac:dyDescent="0.25">
      <c r="B251" s="2">
        <v>44105</v>
      </c>
      <c r="C251">
        <v>3794730</v>
      </c>
    </row>
    <row r="252" spans="2:3" x14ac:dyDescent="0.25">
      <c r="B252" s="2">
        <v>44136</v>
      </c>
      <c r="C252">
        <v>4661863</v>
      </c>
    </row>
    <row r="253" spans="2:3" x14ac:dyDescent="0.25">
      <c r="B253" s="2">
        <v>44166</v>
      </c>
      <c r="C253">
        <v>20152259</v>
      </c>
    </row>
    <row r="254" spans="2:3" x14ac:dyDescent="0.25">
      <c r="B254" s="2">
        <v>44197</v>
      </c>
      <c r="C254">
        <v>6794126</v>
      </c>
    </row>
    <row r="255" spans="2:3" x14ac:dyDescent="0.25">
      <c r="B255" s="2">
        <v>44228</v>
      </c>
      <c r="C255">
        <v>1949146</v>
      </c>
    </row>
    <row r="256" spans="2:3" x14ac:dyDescent="0.25">
      <c r="B256" s="2">
        <v>44256</v>
      </c>
      <c r="C256">
        <v>5507837</v>
      </c>
    </row>
    <row r="257" spans="2:13" x14ac:dyDescent="0.25">
      <c r="B257" s="2">
        <v>44287</v>
      </c>
      <c r="C257">
        <v>5676948</v>
      </c>
    </row>
    <row r="258" spans="2:13" x14ac:dyDescent="0.25">
      <c r="B258" s="2">
        <v>44317</v>
      </c>
      <c r="C258">
        <v>3476194</v>
      </c>
    </row>
    <row r="259" spans="2:13" ht="17.25" x14ac:dyDescent="0.3">
      <c r="B259" s="2">
        <v>44348</v>
      </c>
      <c r="C259">
        <v>4539731</v>
      </c>
      <c r="E259" s="8" t="s">
        <v>16</v>
      </c>
      <c r="F259" s="8" t="s">
        <v>19</v>
      </c>
      <c r="L259" s="2"/>
    </row>
    <row r="260" spans="2:13" x14ac:dyDescent="0.25">
      <c r="B260" s="2">
        <v>44378</v>
      </c>
      <c r="C260">
        <v>5499739</v>
      </c>
      <c r="D260" s="4">
        <v>1784313.5005487001</v>
      </c>
      <c r="E260" s="4">
        <f t="shared" ref="E260:E277" si="0">ABS((C260-D260)/C260)</f>
        <v>0.67556396757215209</v>
      </c>
      <c r="F260" s="5">
        <f>ABS(C260-D260)</f>
        <v>3715425.4994513001</v>
      </c>
      <c r="H260" s="6"/>
      <c r="L260" s="2"/>
    </row>
    <row r="261" spans="2:13" x14ac:dyDescent="0.25">
      <c r="B261" s="2">
        <v>44409</v>
      </c>
      <c r="C261">
        <v>2580244</v>
      </c>
      <c r="D261" s="4">
        <v>2765589.6752368598</v>
      </c>
      <c r="E261" s="4">
        <f t="shared" si="0"/>
        <v>7.1832615534367997E-2</v>
      </c>
      <c r="F261" s="5">
        <f t="shared" ref="F261:F277" si="1">ABS(C261-D261)</f>
        <v>185345.67523685982</v>
      </c>
      <c r="L261" s="2"/>
    </row>
    <row r="262" spans="2:13" x14ac:dyDescent="0.25">
      <c r="B262" s="2">
        <v>44440</v>
      </c>
      <c r="C262">
        <v>1996721</v>
      </c>
      <c r="D262" s="4">
        <v>5882547.0341668101</v>
      </c>
      <c r="E262" s="4">
        <f t="shared" si="0"/>
        <v>1.9461036540241776</v>
      </c>
      <c r="F262" s="5">
        <f t="shared" si="1"/>
        <v>3885826.0341668101</v>
      </c>
      <c r="L262" s="2"/>
    </row>
    <row r="263" spans="2:13" x14ac:dyDescent="0.25">
      <c r="B263" s="2">
        <v>44470</v>
      </c>
      <c r="C263">
        <v>14743853</v>
      </c>
      <c r="D263" s="4">
        <v>3014393.5515083098</v>
      </c>
      <c r="E263" s="4">
        <f t="shared" si="0"/>
        <v>0.79554913145781436</v>
      </c>
      <c r="F263" s="5">
        <f>ABS(C263-D263)</f>
        <v>11729459.448491691</v>
      </c>
      <c r="L263" s="2"/>
    </row>
    <row r="264" spans="2:13" x14ac:dyDescent="0.25">
      <c r="B264" s="2">
        <v>44501</v>
      </c>
      <c r="C264">
        <v>3574557</v>
      </c>
      <c r="D264" s="4">
        <v>7879406.6158884699</v>
      </c>
      <c r="E264" s="4">
        <f t="shared" si="0"/>
        <v>1.2043029712181033</v>
      </c>
      <c r="F264" s="5">
        <f t="shared" si="1"/>
        <v>4304849.6158884699</v>
      </c>
      <c r="L264" s="2"/>
      <c r="M264" s="3"/>
    </row>
    <row r="265" spans="2:13" x14ac:dyDescent="0.25">
      <c r="B265" s="2">
        <v>44531</v>
      </c>
      <c r="C265">
        <v>14987686</v>
      </c>
      <c r="D265" s="4">
        <v>19740737.128334899</v>
      </c>
      <c r="E265" s="4">
        <f t="shared" si="0"/>
        <v>0.31713041815360282</v>
      </c>
      <c r="F265" s="5">
        <f t="shared" si="1"/>
        <v>4753051.1283348985</v>
      </c>
      <c r="L265" s="2"/>
    </row>
    <row r="266" spans="2:13" x14ac:dyDescent="0.25">
      <c r="B266" s="2">
        <v>44562</v>
      </c>
      <c r="C266">
        <v>4042415</v>
      </c>
      <c r="D266" s="4">
        <v>5652254.8384636398</v>
      </c>
      <c r="E266" s="4">
        <f t="shared" si="0"/>
        <v>0.39823715241103147</v>
      </c>
      <c r="F266" s="5">
        <f t="shared" si="1"/>
        <v>1609839.8384636398</v>
      </c>
      <c r="H266" s="2"/>
      <c r="I266" s="2"/>
      <c r="L266" s="2"/>
    </row>
    <row r="267" spans="2:13" x14ac:dyDescent="0.25">
      <c r="B267" s="2">
        <v>44593</v>
      </c>
      <c r="C267">
        <v>1030123</v>
      </c>
      <c r="D267" s="4">
        <v>2028974.991353</v>
      </c>
      <c r="E267" s="4">
        <f t="shared" si="0"/>
        <v>0.9696434225359496</v>
      </c>
      <c r="F267" s="5">
        <f t="shared" si="1"/>
        <v>998851.99135300005</v>
      </c>
      <c r="H267" s="2"/>
      <c r="I267" s="2"/>
      <c r="L267" s="2"/>
    </row>
    <row r="268" spans="2:13" x14ac:dyDescent="0.25">
      <c r="B268" s="2">
        <v>44621</v>
      </c>
      <c r="C268">
        <v>4708485</v>
      </c>
      <c r="D268" s="4">
        <v>5761683.8686902896</v>
      </c>
      <c r="E268" s="4">
        <f t="shared" si="0"/>
        <v>0.22368104999597313</v>
      </c>
      <c r="F268" s="5">
        <f t="shared" si="1"/>
        <v>1053198.8686902896</v>
      </c>
      <c r="H268" s="2"/>
      <c r="I268" s="2"/>
      <c r="L268" s="2"/>
    </row>
    <row r="269" spans="2:13" x14ac:dyDescent="0.25">
      <c r="B269" s="2">
        <v>44652</v>
      </c>
      <c r="C269">
        <v>6024615</v>
      </c>
      <c r="D269" s="4">
        <v>5930794.8686902896</v>
      </c>
      <c r="E269" s="4">
        <f t="shared" si="0"/>
        <v>1.5572801134962224E-2</v>
      </c>
      <c r="F269" s="5">
        <f t="shared" si="1"/>
        <v>93820.131309710443</v>
      </c>
      <c r="H269" s="2"/>
      <c r="I269" s="2"/>
      <c r="L269" s="2"/>
    </row>
    <row r="270" spans="2:13" x14ac:dyDescent="0.25">
      <c r="B270" s="2">
        <v>44682</v>
      </c>
      <c r="C270">
        <v>10373780</v>
      </c>
      <c r="D270" s="4">
        <v>3730040.86869029</v>
      </c>
      <c r="E270" s="4">
        <f t="shared" si="0"/>
        <v>0.64043570726482635</v>
      </c>
      <c r="F270" s="5">
        <f t="shared" si="1"/>
        <v>6643739.1313097104</v>
      </c>
      <c r="H270" s="2"/>
      <c r="I270" s="2"/>
      <c r="L270" s="2"/>
    </row>
    <row r="271" spans="2:13" x14ac:dyDescent="0.25">
      <c r="B271" s="2">
        <v>44713</v>
      </c>
      <c r="C271">
        <v>8713963</v>
      </c>
      <c r="D271" s="4">
        <v>4793577.8686902896</v>
      </c>
      <c r="E271" s="4">
        <f t="shared" si="0"/>
        <v>0.44989692190679609</v>
      </c>
      <c r="F271" s="5">
        <f t="shared" si="1"/>
        <v>3920385.1313097104</v>
      </c>
      <c r="H271" s="2"/>
      <c r="I271" s="2"/>
      <c r="L271" s="2"/>
    </row>
    <row r="272" spans="2:13" x14ac:dyDescent="0.25">
      <c r="B272" s="2">
        <v>44743</v>
      </c>
      <c r="C272">
        <v>5938357</v>
      </c>
      <c r="D272" s="4">
        <v>5753585.8686902998</v>
      </c>
      <c r="E272" s="4">
        <f t="shared" si="0"/>
        <v>3.1114857410846165E-2</v>
      </c>
      <c r="F272" s="5">
        <f t="shared" si="1"/>
        <v>184771.1313097002</v>
      </c>
      <c r="L272" s="2"/>
    </row>
    <row r="273" spans="2:13" x14ac:dyDescent="0.25">
      <c r="B273" s="2">
        <v>44774</v>
      </c>
      <c r="C273">
        <v>1763571</v>
      </c>
      <c r="D273" s="4">
        <v>2834090.86869029</v>
      </c>
      <c r="E273" s="4">
        <f t="shared" si="0"/>
        <v>0.60701829905928939</v>
      </c>
      <c r="F273" s="5">
        <f t="shared" si="1"/>
        <v>1070519.86869029</v>
      </c>
      <c r="L273" s="2"/>
    </row>
    <row r="274" spans="2:13" x14ac:dyDescent="0.25">
      <c r="B274" s="2">
        <v>44805</v>
      </c>
      <c r="C274">
        <v>2681947</v>
      </c>
      <c r="D274" s="4">
        <v>2250567.86869029</v>
      </c>
      <c r="E274" s="4">
        <f t="shared" si="0"/>
        <v>0.16084550936678091</v>
      </c>
      <c r="F274" s="5">
        <f t="shared" si="1"/>
        <v>431379.13130970998</v>
      </c>
      <c r="L274" s="2"/>
      <c r="M274" s="3"/>
    </row>
    <row r="275" spans="2:13" x14ac:dyDescent="0.25">
      <c r="B275" s="2">
        <v>44835</v>
      </c>
      <c r="C275">
        <v>1251071</v>
      </c>
      <c r="D275" s="4">
        <v>14997699.8686902</v>
      </c>
      <c r="E275" s="4">
        <f t="shared" si="0"/>
        <v>10.987888671938043</v>
      </c>
      <c r="F275" s="5">
        <f t="shared" si="1"/>
        <v>13746628.8686902</v>
      </c>
      <c r="L275" s="2"/>
    </row>
    <row r="276" spans="2:13" x14ac:dyDescent="0.25">
      <c r="B276" s="2">
        <v>44866</v>
      </c>
      <c r="C276">
        <v>5233782</v>
      </c>
      <c r="D276" s="4">
        <v>3828403.86869029</v>
      </c>
      <c r="E276" s="4">
        <f t="shared" si="0"/>
        <v>0.26852057103442789</v>
      </c>
      <c r="F276" s="5">
        <f t="shared" si="1"/>
        <v>1405378.13130971</v>
      </c>
      <c r="L276" s="2"/>
      <c r="M276" s="3"/>
    </row>
    <row r="277" spans="2:13" x14ac:dyDescent="0.25">
      <c r="B277" s="2">
        <v>44896</v>
      </c>
      <c r="C277">
        <v>8074980</v>
      </c>
      <c r="D277" s="4">
        <v>15241532.8686902</v>
      </c>
      <c r="E277" s="4">
        <f t="shared" si="0"/>
        <v>0.88750100541304133</v>
      </c>
      <c r="F277" s="5">
        <f t="shared" si="1"/>
        <v>7166552.8686902002</v>
      </c>
    </row>
    <row r="278" spans="2:13" x14ac:dyDescent="0.25">
      <c r="E278" s="9">
        <f>AVERAGE(E260:E277)</f>
        <v>1.1472688181906772</v>
      </c>
      <c r="F278" s="9">
        <f>AVERAGE(F260:F277)</f>
        <v>3716612.3607781059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408B-BCDF-44D1-A249-168F43D6766F}">
  <dimension ref="A1:P278"/>
  <sheetViews>
    <sheetView workbookViewId="0">
      <pane xSplit="2" ySplit="1" topLeftCell="C232" activePane="bottomRight" state="frozen"/>
      <selection pane="topRight" activeCell="B1" sqref="B1"/>
      <selection pane="bottomLeft" activeCell="A2" sqref="A2"/>
      <selection pane="bottomRight" activeCell="J251" sqref="J251:N278"/>
    </sheetView>
  </sheetViews>
  <sheetFormatPr defaultColWidth="14.28515625" defaultRowHeight="15" x14ac:dyDescent="0.25"/>
  <cols>
    <col min="1" max="1" width="35.85546875" bestFit="1" customWidth="1"/>
    <col min="2" max="2" width="14.42578125" bestFit="1" customWidth="1"/>
    <col min="3" max="3" width="19.5703125" bestFit="1" customWidth="1"/>
    <col min="4" max="4" width="20.7109375" bestFit="1" customWidth="1"/>
    <col min="5" max="5" width="37.42578125" bestFit="1" customWidth="1"/>
    <col min="6" max="6" width="22.28515625" bestFit="1" customWidth="1"/>
    <col min="8" max="8" width="8" bestFit="1" customWidth="1"/>
  </cols>
  <sheetData>
    <row r="1" spans="1:6" x14ac:dyDescent="0.25">
      <c r="A1" s="7" t="s">
        <v>13</v>
      </c>
      <c r="B1" t="s">
        <v>7</v>
      </c>
      <c r="C1" t="s">
        <v>8</v>
      </c>
      <c r="D1" t="s">
        <v>10</v>
      </c>
      <c r="E1" t="s">
        <v>17</v>
      </c>
      <c r="F1" t="s">
        <v>18</v>
      </c>
    </row>
    <row r="2" spans="1:6" x14ac:dyDescent="0.25">
      <c r="B2" s="2">
        <v>36526</v>
      </c>
      <c r="C2">
        <v>121670</v>
      </c>
    </row>
    <row r="3" spans="1:6" x14ac:dyDescent="0.25">
      <c r="B3" s="2">
        <v>36557</v>
      </c>
      <c r="C3">
        <v>0</v>
      </c>
    </row>
    <row r="4" spans="1:6" x14ac:dyDescent="0.25">
      <c r="B4" s="2">
        <v>36586</v>
      </c>
      <c r="C4">
        <v>0</v>
      </c>
    </row>
    <row r="5" spans="1:6" x14ac:dyDescent="0.25">
      <c r="B5" s="2">
        <v>36617</v>
      </c>
      <c r="C5">
        <v>1630925</v>
      </c>
    </row>
    <row r="6" spans="1:6" x14ac:dyDescent="0.25">
      <c r="B6" s="2">
        <v>36647</v>
      </c>
      <c r="C6">
        <v>12343071</v>
      </c>
    </row>
    <row r="7" spans="1:6" x14ac:dyDescent="0.25">
      <c r="B7" s="2">
        <v>36678</v>
      </c>
      <c r="C7">
        <v>10396080</v>
      </c>
    </row>
    <row r="8" spans="1:6" x14ac:dyDescent="0.25">
      <c r="B8" s="2">
        <v>36708</v>
      </c>
      <c r="C8">
        <v>5174232</v>
      </c>
    </row>
    <row r="9" spans="1:6" x14ac:dyDescent="0.25">
      <c r="B9" s="2">
        <v>36739</v>
      </c>
      <c r="C9">
        <v>3260662</v>
      </c>
    </row>
    <row r="10" spans="1:6" x14ac:dyDescent="0.25">
      <c r="B10" s="2">
        <v>36770</v>
      </c>
      <c r="C10">
        <v>26015</v>
      </c>
    </row>
    <row r="11" spans="1:6" x14ac:dyDescent="0.25">
      <c r="B11" s="2">
        <v>36800</v>
      </c>
      <c r="C11">
        <v>182739</v>
      </c>
    </row>
    <row r="12" spans="1:6" x14ac:dyDescent="0.25">
      <c r="B12" s="2">
        <v>36831</v>
      </c>
      <c r="C12">
        <v>0</v>
      </c>
    </row>
    <row r="13" spans="1:6" x14ac:dyDescent="0.25">
      <c r="B13" s="2">
        <v>36861</v>
      </c>
      <c r="C13">
        <v>10317340</v>
      </c>
    </row>
    <row r="14" spans="1:6" x14ac:dyDescent="0.25">
      <c r="B14" s="2">
        <v>36892</v>
      </c>
      <c r="C14">
        <v>187630</v>
      </c>
    </row>
    <row r="15" spans="1:6" x14ac:dyDescent="0.25">
      <c r="B15" s="2">
        <v>36923</v>
      </c>
      <c r="C15">
        <v>115640</v>
      </c>
    </row>
    <row r="16" spans="1:6" x14ac:dyDescent="0.25">
      <c r="B16" s="2">
        <v>36951</v>
      </c>
      <c r="C16">
        <v>2033805</v>
      </c>
    </row>
    <row r="17" spans="2:3" x14ac:dyDescent="0.25">
      <c r="B17" s="2">
        <v>36982</v>
      </c>
      <c r="C17">
        <v>2679394</v>
      </c>
    </row>
    <row r="18" spans="2:3" x14ac:dyDescent="0.25">
      <c r="B18" s="2">
        <v>37012</v>
      </c>
      <c r="C18">
        <v>10585486</v>
      </c>
    </row>
    <row r="19" spans="2:3" x14ac:dyDescent="0.25">
      <c r="B19" s="2">
        <v>37043</v>
      </c>
      <c r="C19">
        <v>6982546</v>
      </c>
    </row>
    <row r="20" spans="2:3" x14ac:dyDescent="0.25">
      <c r="B20" s="2">
        <v>37073</v>
      </c>
      <c r="C20">
        <v>9695330</v>
      </c>
    </row>
    <row r="21" spans="2:3" x14ac:dyDescent="0.25">
      <c r="B21" s="2">
        <v>37104</v>
      </c>
      <c r="C21">
        <v>14253564</v>
      </c>
    </row>
    <row r="22" spans="2:3" x14ac:dyDescent="0.25">
      <c r="B22" s="2">
        <v>37135</v>
      </c>
      <c r="C22">
        <v>3722336</v>
      </c>
    </row>
    <row r="23" spans="2:3" x14ac:dyDescent="0.25">
      <c r="B23" s="2">
        <v>37165</v>
      </c>
      <c r="C23">
        <v>68553</v>
      </c>
    </row>
    <row r="24" spans="2:3" x14ac:dyDescent="0.25">
      <c r="B24" s="2">
        <v>37196</v>
      </c>
      <c r="C24">
        <v>2954</v>
      </c>
    </row>
    <row r="25" spans="2:3" x14ac:dyDescent="0.25">
      <c r="B25" s="2">
        <v>37226</v>
      </c>
      <c r="C25">
        <v>5222585</v>
      </c>
    </row>
    <row r="26" spans="2:3" x14ac:dyDescent="0.25">
      <c r="B26" s="2">
        <v>37257</v>
      </c>
      <c r="C26">
        <v>8582638</v>
      </c>
    </row>
    <row r="27" spans="2:3" x14ac:dyDescent="0.25">
      <c r="B27" s="2">
        <v>37288</v>
      </c>
      <c r="C27">
        <v>6278114</v>
      </c>
    </row>
    <row r="28" spans="2:3" x14ac:dyDescent="0.25">
      <c r="B28" s="2">
        <v>37316</v>
      </c>
      <c r="C28">
        <v>2273313</v>
      </c>
    </row>
    <row r="29" spans="2:3" x14ac:dyDescent="0.25">
      <c r="B29" s="2">
        <v>37347</v>
      </c>
      <c r="C29">
        <v>7496329</v>
      </c>
    </row>
    <row r="30" spans="2:3" x14ac:dyDescent="0.25">
      <c r="B30" s="2">
        <v>37377</v>
      </c>
      <c r="C30">
        <v>25271074</v>
      </c>
    </row>
    <row r="31" spans="2:3" x14ac:dyDescent="0.25">
      <c r="B31" s="2">
        <v>37408</v>
      </c>
      <c r="C31">
        <v>24675022</v>
      </c>
    </row>
    <row r="32" spans="2:3" x14ac:dyDescent="0.25">
      <c r="B32" s="2">
        <v>37438</v>
      </c>
      <c r="C32">
        <v>20131998</v>
      </c>
    </row>
    <row r="33" spans="2:3" x14ac:dyDescent="0.25">
      <c r="B33" s="2">
        <v>37469</v>
      </c>
      <c r="C33">
        <v>15300577</v>
      </c>
    </row>
    <row r="34" spans="2:3" x14ac:dyDescent="0.25">
      <c r="B34" s="2">
        <v>37500</v>
      </c>
      <c r="C34">
        <v>1919411</v>
      </c>
    </row>
    <row r="35" spans="2:3" x14ac:dyDescent="0.25">
      <c r="B35" s="2">
        <v>37530</v>
      </c>
      <c r="C35">
        <v>11144954</v>
      </c>
    </row>
    <row r="36" spans="2:3" x14ac:dyDescent="0.25">
      <c r="B36" s="2">
        <v>37561</v>
      </c>
      <c r="C36">
        <v>90351</v>
      </c>
    </row>
    <row r="37" spans="2:3" x14ac:dyDescent="0.25">
      <c r="B37" s="2">
        <v>37591</v>
      </c>
      <c r="C37">
        <v>5649171</v>
      </c>
    </row>
    <row r="38" spans="2:3" x14ac:dyDescent="0.25">
      <c r="B38" s="2">
        <v>37622</v>
      </c>
      <c r="C38">
        <v>6283421</v>
      </c>
    </row>
    <row r="39" spans="2:3" x14ac:dyDescent="0.25">
      <c r="B39" s="2">
        <v>37653</v>
      </c>
      <c r="C39">
        <v>2525973</v>
      </c>
    </row>
    <row r="40" spans="2:3" x14ac:dyDescent="0.25">
      <c r="B40" s="2">
        <v>37681</v>
      </c>
      <c r="C40">
        <v>3671795</v>
      </c>
    </row>
    <row r="41" spans="2:3" x14ac:dyDescent="0.25">
      <c r="B41" s="2">
        <v>37712</v>
      </c>
      <c r="C41">
        <v>7352435</v>
      </c>
    </row>
    <row r="42" spans="2:3" x14ac:dyDescent="0.25">
      <c r="B42" s="2">
        <v>37742</v>
      </c>
      <c r="C42">
        <v>11266884</v>
      </c>
    </row>
    <row r="43" spans="2:3" x14ac:dyDescent="0.25">
      <c r="B43" s="2">
        <v>37773</v>
      </c>
      <c r="C43">
        <v>44196655</v>
      </c>
    </row>
    <row r="44" spans="2:3" x14ac:dyDescent="0.25">
      <c r="B44" s="2">
        <v>37803</v>
      </c>
      <c r="C44">
        <v>38329803</v>
      </c>
    </row>
    <row r="45" spans="2:3" x14ac:dyDescent="0.25">
      <c r="B45" s="2">
        <v>37834</v>
      </c>
      <c r="C45">
        <v>15768581</v>
      </c>
    </row>
    <row r="46" spans="2:3" x14ac:dyDescent="0.25">
      <c r="B46" s="2">
        <v>37865</v>
      </c>
      <c r="C46">
        <v>425474</v>
      </c>
    </row>
    <row r="47" spans="2:3" x14ac:dyDescent="0.25">
      <c r="B47" s="2">
        <v>37895</v>
      </c>
      <c r="C47">
        <v>2556536</v>
      </c>
    </row>
    <row r="48" spans="2:3" x14ac:dyDescent="0.25">
      <c r="B48" s="2">
        <v>37926</v>
      </c>
      <c r="C48">
        <v>775418</v>
      </c>
    </row>
    <row r="49" spans="2:3" x14ac:dyDescent="0.25">
      <c r="B49" s="2">
        <v>37956</v>
      </c>
      <c r="C49">
        <v>9097427</v>
      </c>
    </row>
    <row r="50" spans="2:3" x14ac:dyDescent="0.25">
      <c r="B50" s="2">
        <v>37987</v>
      </c>
      <c r="C50">
        <v>7647047</v>
      </c>
    </row>
    <row r="51" spans="2:3" x14ac:dyDescent="0.25">
      <c r="B51" s="2">
        <v>38018</v>
      </c>
      <c r="C51">
        <v>1831041</v>
      </c>
    </row>
    <row r="52" spans="2:3" x14ac:dyDescent="0.25">
      <c r="B52" s="2">
        <v>38047</v>
      </c>
      <c r="C52">
        <v>8039125</v>
      </c>
    </row>
    <row r="53" spans="2:3" x14ac:dyDescent="0.25">
      <c r="B53" s="2">
        <v>38078</v>
      </c>
      <c r="C53">
        <v>2775687</v>
      </c>
    </row>
    <row r="54" spans="2:3" x14ac:dyDescent="0.25">
      <c r="B54" s="2">
        <v>38108</v>
      </c>
      <c r="C54">
        <v>21819802</v>
      </c>
    </row>
    <row r="55" spans="2:3" x14ac:dyDescent="0.25">
      <c r="B55" s="2">
        <v>38139</v>
      </c>
      <c r="C55">
        <v>16505777</v>
      </c>
    </row>
    <row r="56" spans="2:3" x14ac:dyDescent="0.25">
      <c r="B56" s="2">
        <v>38169</v>
      </c>
      <c r="C56">
        <v>2388014</v>
      </c>
    </row>
    <row r="57" spans="2:3" x14ac:dyDescent="0.25">
      <c r="B57" s="2">
        <v>38200</v>
      </c>
      <c r="C57">
        <v>15054</v>
      </c>
    </row>
    <row r="58" spans="2:3" x14ac:dyDescent="0.25">
      <c r="B58" s="2">
        <v>38231</v>
      </c>
      <c r="C58">
        <v>1433750</v>
      </c>
    </row>
    <row r="59" spans="2:3" x14ac:dyDescent="0.25">
      <c r="B59" s="2">
        <v>38261</v>
      </c>
      <c r="C59">
        <v>0</v>
      </c>
    </row>
    <row r="60" spans="2:3" x14ac:dyDescent="0.25">
      <c r="B60" s="2">
        <v>38292</v>
      </c>
      <c r="C60">
        <v>1372518</v>
      </c>
    </row>
    <row r="61" spans="2:3" x14ac:dyDescent="0.25">
      <c r="B61" s="2">
        <v>38322</v>
      </c>
      <c r="C61">
        <v>5615917</v>
      </c>
    </row>
    <row r="62" spans="2:3" x14ac:dyDescent="0.25">
      <c r="B62" s="2">
        <v>38353</v>
      </c>
      <c r="C62">
        <v>92</v>
      </c>
    </row>
    <row r="63" spans="2:3" x14ac:dyDescent="0.25">
      <c r="B63" s="2">
        <v>38384</v>
      </c>
      <c r="C63">
        <v>2926780</v>
      </c>
    </row>
    <row r="64" spans="2:3" x14ac:dyDescent="0.25">
      <c r="B64" s="2">
        <v>38412</v>
      </c>
      <c r="C64">
        <v>564445</v>
      </c>
    </row>
    <row r="65" spans="2:3" x14ac:dyDescent="0.25">
      <c r="B65" s="2">
        <v>38443</v>
      </c>
      <c r="C65">
        <v>2916195</v>
      </c>
    </row>
    <row r="66" spans="2:3" x14ac:dyDescent="0.25">
      <c r="B66" s="2">
        <v>38473</v>
      </c>
      <c r="C66">
        <v>888769</v>
      </c>
    </row>
    <row r="67" spans="2:3" x14ac:dyDescent="0.25">
      <c r="B67" s="2">
        <v>38504</v>
      </c>
      <c r="C67">
        <v>22464156</v>
      </c>
    </row>
    <row r="68" spans="2:3" x14ac:dyDescent="0.25">
      <c r="B68" s="2">
        <v>38534</v>
      </c>
      <c r="C68">
        <v>5623114</v>
      </c>
    </row>
    <row r="69" spans="2:3" x14ac:dyDescent="0.25">
      <c r="B69" s="2">
        <v>38565</v>
      </c>
      <c r="C69">
        <v>0</v>
      </c>
    </row>
    <row r="70" spans="2:3" x14ac:dyDescent="0.25">
      <c r="B70" s="2">
        <v>38596</v>
      </c>
      <c r="C70">
        <v>991424</v>
      </c>
    </row>
    <row r="71" spans="2:3" x14ac:dyDescent="0.25">
      <c r="B71" s="2">
        <v>38626</v>
      </c>
      <c r="C71">
        <v>239448</v>
      </c>
    </row>
    <row r="72" spans="2:3" x14ac:dyDescent="0.25">
      <c r="B72" s="2">
        <v>38657</v>
      </c>
      <c r="C72">
        <v>969248</v>
      </c>
    </row>
    <row r="73" spans="2:3" x14ac:dyDescent="0.25">
      <c r="B73" s="2">
        <v>38687</v>
      </c>
      <c r="C73">
        <v>2659067</v>
      </c>
    </row>
    <row r="74" spans="2:3" x14ac:dyDescent="0.25">
      <c r="B74" s="2">
        <v>38718</v>
      </c>
      <c r="C74">
        <v>4939867</v>
      </c>
    </row>
    <row r="75" spans="2:3" x14ac:dyDescent="0.25">
      <c r="B75" s="2">
        <v>38749</v>
      </c>
      <c r="C75">
        <v>3186817</v>
      </c>
    </row>
    <row r="76" spans="2:3" x14ac:dyDescent="0.25">
      <c r="B76" s="2">
        <v>38777</v>
      </c>
      <c r="C76">
        <v>3401741</v>
      </c>
    </row>
    <row r="77" spans="2:3" x14ac:dyDescent="0.25">
      <c r="B77" s="2">
        <v>38808</v>
      </c>
      <c r="C77">
        <v>11901968</v>
      </c>
    </row>
    <row r="78" spans="2:3" x14ac:dyDescent="0.25">
      <c r="B78" s="2">
        <v>38838</v>
      </c>
      <c r="C78">
        <v>2684520</v>
      </c>
    </row>
    <row r="79" spans="2:3" x14ac:dyDescent="0.25">
      <c r="B79" s="2">
        <v>38869</v>
      </c>
      <c r="C79">
        <v>4594261</v>
      </c>
    </row>
    <row r="80" spans="2:3" x14ac:dyDescent="0.25">
      <c r="B80" s="2">
        <v>38899</v>
      </c>
      <c r="C80">
        <v>14581</v>
      </c>
    </row>
    <row r="81" spans="2:3" x14ac:dyDescent="0.25">
      <c r="B81" s="2">
        <v>38930</v>
      </c>
      <c r="C81">
        <v>41382</v>
      </c>
    </row>
    <row r="82" spans="2:3" x14ac:dyDescent="0.25">
      <c r="B82" s="2">
        <v>38961</v>
      </c>
      <c r="C82">
        <v>32794</v>
      </c>
    </row>
    <row r="83" spans="2:3" x14ac:dyDescent="0.25">
      <c r="B83" s="2">
        <v>38991</v>
      </c>
      <c r="C83">
        <v>930008</v>
      </c>
    </row>
    <row r="84" spans="2:3" x14ac:dyDescent="0.25">
      <c r="B84" s="2">
        <v>39022</v>
      </c>
      <c r="C84">
        <v>2160573</v>
      </c>
    </row>
    <row r="85" spans="2:3" x14ac:dyDescent="0.25">
      <c r="B85" s="2">
        <v>39052</v>
      </c>
      <c r="C85">
        <v>2730143</v>
      </c>
    </row>
    <row r="86" spans="2:3" x14ac:dyDescent="0.25">
      <c r="B86" s="2">
        <v>39083</v>
      </c>
      <c r="C86">
        <v>61857</v>
      </c>
    </row>
    <row r="87" spans="2:3" x14ac:dyDescent="0.25">
      <c r="B87" s="2">
        <v>39114</v>
      </c>
      <c r="C87">
        <v>89413</v>
      </c>
    </row>
    <row r="88" spans="2:3" x14ac:dyDescent="0.25">
      <c r="B88" s="2">
        <v>39142</v>
      </c>
      <c r="C88">
        <v>631253</v>
      </c>
    </row>
    <row r="89" spans="2:3" x14ac:dyDescent="0.25">
      <c r="B89" s="2">
        <v>39173</v>
      </c>
      <c r="C89">
        <v>219872</v>
      </c>
    </row>
    <row r="90" spans="2:3" x14ac:dyDescent="0.25">
      <c r="B90" s="2">
        <v>39203</v>
      </c>
      <c r="C90">
        <v>14948644</v>
      </c>
    </row>
    <row r="91" spans="2:3" x14ac:dyDescent="0.25">
      <c r="B91" s="2">
        <v>39234</v>
      </c>
      <c r="C91">
        <v>6526977</v>
      </c>
    </row>
    <row r="92" spans="2:3" x14ac:dyDescent="0.25">
      <c r="B92" s="2">
        <v>39264</v>
      </c>
      <c r="C92">
        <v>333343</v>
      </c>
    </row>
    <row r="93" spans="2:3" x14ac:dyDescent="0.25">
      <c r="B93" s="2">
        <v>39295</v>
      </c>
      <c r="C93">
        <v>201384</v>
      </c>
    </row>
    <row r="94" spans="2:3" x14ac:dyDescent="0.25">
      <c r="B94" s="2">
        <v>39326</v>
      </c>
      <c r="C94">
        <v>187317</v>
      </c>
    </row>
    <row r="95" spans="2:3" x14ac:dyDescent="0.25">
      <c r="B95" s="2">
        <v>39356</v>
      </c>
      <c r="C95">
        <v>1283194</v>
      </c>
    </row>
    <row r="96" spans="2:3" x14ac:dyDescent="0.25">
      <c r="B96" s="2">
        <v>39387</v>
      </c>
      <c r="C96">
        <v>657423</v>
      </c>
    </row>
    <row r="97" spans="2:3" x14ac:dyDescent="0.25">
      <c r="B97" s="2">
        <v>39417</v>
      </c>
      <c r="C97">
        <v>8585924</v>
      </c>
    </row>
    <row r="98" spans="2:3" x14ac:dyDescent="0.25">
      <c r="B98" s="2">
        <v>39448</v>
      </c>
      <c r="C98">
        <v>185454</v>
      </c>
    </row>
    <row r="99" spans="2:3" x14ac:dyDescent="0.25">
      <c r="B99" s="2">
        <v>39479</v>
      </c>
      <c r="C99">
        <v>329021</v>
      </c>
    </row>
    <row r="100" spans="2:3" x14ac:dyDescent="0.25">
      <c r="B100" s="2">
        <v>39508</v>
      </c>
      <c r="C100">
        <v>1192921</v>
      </c>
    </row>
    <row r="101" spans="2:3" x14ac:dyDescent="0.25">
      <c r="B101" s="2">
        <v>39539</v>
      </c>
      <c r="C101">
        <v>581849</v>
      </c>
    </row>
    <row r="102" spans="2:3" x14ac:dyDescent="0.25">
      <c r="B102" s="2">
        <v>39569</v>
      </c>
      <c r="C102">
        <v>21416280</v>
      </c>
    </row>
    <row r="103" spans="2:3" x14ac:dyDescent="0.25">
      <c r="B103" s="2">
        <v>39600</v>
      </c>
      <c r="C103">
        <v>1838064</v>
      </c>
    </row>
    <row r="104" spans="2:3" x14ac:dyDescent="0.25">
      <c r="B104" s="2">
        <v>39630</v>
      </c>
      <c r="C104">
        <v>5630489</v>
      </c>
    </row>
    <row r="105" spans="2:3" x14ac:dyDescent="0.25">
      <c r="B105" s="2">
        <v>39661</v>
      </c>
      <c r="C105">
        <v>314436</v>
      </c>
    </row>
    <row r="106" spans="2:3" x14ac:dyDescent="0.25">
      <c r="B106" s="2">
        <v>39692</v>
      </c>
      <c r="C106">
        <v>2777577</v>
      </c>
    </row>
    <row r="107" spans="2:3" x14ac:dyDescent="0.25">
      <c r="B107" s="2">
        <v>39722</v>
      </c>
      <c r="C107">
        <v>6321081</v>
      </c>
    </row>
    <row r="108" spans="2:3" x14ac:dyDescent="0.25">
      <c r="B108" s="2">
        <v>39753</v>
      </c>
      <c r="C108">
        <v>492718</v>
      </c>
    </row>
    <row r="109" spans="2:3" x14ac:dyDescent="0.25">
      <c r="B109" s="2">
        <v>39783</v>
      </c>
      <c r="C109">
        <v>2004777</v>
      </c>
    </row>
    <row r="110" spans="2:3" x14ac:dyDescent="0.25">
      <c r="B110" s="2">
        <v>39814</v>
      </c>
      <c r="C110">
        <v>2306982</v>
      </c>
    </row>
    <row r="111" spans="2:3" x14ac:dyDescent="0.25">
      <c r="B111" s="2">
        <v>39845</v>
      </c>
      <c r="C111">
        <v>1092647</v>
      </c>
    </row>
    <row r="112" spans="2:3" x14ac:dyDescent="0.25">
      <c r="B112" s="2">
        <v>39873</v>
      </c>
      <c r="C112">
        <v>54278</v>
      </c>
    </row>
    <row r="113" spans="2:3" x14ac:dyDescent="0.25">
      <c r="B113" s="2">
        <v>39904</v>
      </c>
      <c r="C113">
        <v>6350933</v>
      </c>
    </row>
    <row r="114" spans="2:3" x14ac:dyDescent="0.25">
      <c r="B114" s="2">
        <v>39934</v>
      </c>
      <c r="C114">
        <v>11049422</v>
      </c>
    </row>
    <row r="115" spans="2:3" x14ac:dyDescent="0.25">
      <c r="B115" s="2">
        <v>39965</v>
      </c>
      <c r="C115">
        <v>5935683</v>
      </c>
    </row>
    <row r="116" spans="2:3" x14ac:dyDescent="0.25">
      <c r="B116" s="2">
        <v>39995</v>
      </c>
      <c r="C116">
        <v>5041877</v>
      </c>
    </row>
    <row r="117" spans="2:3" x14ac:dyDescent="0.25">
      <c r="B117" s="2">
        <v>40026</v>
      </c>
      <c r="C117">
        <v>1669380</v>
      </c>
    </row>
    <row r="118" spans="2:3" x14ac:dyDescent="0.25">
      <c r="B118" s="2">
        <v>40057</v>
      </c>
      <c r="C118">
        <v>453597</v>
      </c>
    </row>
    <row r="119" spans="2:3" x14ac:dyDescent="0.25">
      <c r="B119" s="2">
        <v>40087</v>
      </c>
      <c r="C119">
        <v>1445908</v>
      </c>
    </row>
    <row r="120" spans="2:3" x14ac:dyDescent="0.25">
      <c r="B120" s="2">
        <v>40118</v>
      </c>
      <c r="C120">
        <v>551455</v>
      </c>
    </row>
    <row r="121" spans="2:3" x14ac:dyDescent="0.25">
      <c r="B121" s="2">
        <v>40148</v>
      </c>
      <c r="C121">
        <v>1514169</v>
      </c>
    </row>
    <row r="122" spans="2:3" x14ac:dyDescent="0.25">
      <c r="B122" s="2">
        <v>40179</v>
      </c>
      <c r="C122">
        <v>3316210</v>
      </c>
    </row>
    <row r="123" spans="2:3" x14ac:dyDescent="0.25">
      <c r="B123" s="2">
        <v>40210</v>
      </c>
      <c r="C123">
        <v>6376900</v>
      </c>
    </row>
    <row r="124" spans="2:3" x14ac:dyDescent="0.25">
      <c r="B124" s="2">
        <v>40238</v>
      </c>
      <c r="C124">
        <v>2700390</v>
      </c>
    </row>
    <row r="125" spans="2:3" x14ac:dyDescent="0.25">
      <c r="B125" s="2">
        <v>40269</v>
      </c>
      <c r="C125">
        <v>277787</v>
      </c>
    </row>
    <row r="126" spans="2:3" x14ac:dyDescent="0.25">
      <c r="B126" s="2">
        <v>40299</v>
      </c>
      <c r="C126">
        <v>4051967</v>
      </c>
    </row>
    <row r="127" spans="2:3" x14ac:dyDescent="0.25">
      <c r="B127" s="2">
        <v>40330</v>
      </c>
      <c r="C127">
        <v>6457441</v>
      </c>
    </row>
    <row r="128" spans="2:3" x14ac:dyDescent="0.25">
      <c r="B128" s="2">
        <v>40360</v>
      </c>
      <c r="C128">
        <v>4421160</v>
      </c>
    </row>
    <row r="129" spans="2:3" x14ac:dyDescent="0.25">
      <c r="B129" s="2">
        <v>40391</v>
      </c>
      <c r="C129">
        <v>4896836</v>
      </c>
    </row>
    <row r="130" spans="2:3" x14ac:dyDescent="0.25">
      <c r="B130" s="2">
        <v>40422</v>
      </c>
      <c r="C130">
        <v>6891583</v>
      </c>
    </row>
    <row r="131" spans="2:3" x14ac:dyDescent="0.25">
      <c r="B131" s="2">
        <v>40452</v>
      </c>
      <c r="C131">
        <v>641039</v>
      </c>
    </row>
    <row r="132" spans="2:3" x14ac:dyDescent="0.25">
      <c r="B132" s="2">
        <v>40483</v>
      </c>
      <c r="C132">
        <v>19700</v>
      </c>
    </row>
    <row r="133" spans="2:3" x14ac:dyDescent="0.25">
      <c r="B133" s="2">
        <v>40513</v>
      </c>
      <c r="C133">
        <v>4445865</v>
      </c>
    </row>
    <row r="134" spans="2:3" x14ac:dyDescent="0.25">
      <c r="B134" s="2">
        <v>40544</v>
      </c>
      <c r="C134">
        <v>6581480</v>
      </c>
    </row>
    <row r="135" spans="2:3" x14ac:dyDescent="0.25">
      <c r="B135" s="2">
        <v>40575</v>
      </c>
      <c r="C135">
        <v>7408146</v>
      </c>
    </row>
    <row r="136" spans="2:3" x14ac:dyDescent="0.25">
      <c r="B136" s="2">
        <v>40603</v>
      </c>
      <c r="C136">
        <v>4942909</v>
      </c>
    </row>
    <row r="137" spans="2:3" x14ac:dyDescent="0.25">
      <c r="B137" s="2">
        <v>40634</v>
      </c>
      <c r="C137">
        <v>8091318</v>
      </c>
    </row>
    <row r="138" spans="2:3" x14ac:dyDescent="0.25">
      <c r="B138" s="2">
        <v>40664</v>
      </c>
      <c r="C138">
        <v>16718821</v>
      </c>
    </row>
    <row r="139" spans="2:3" x14ac:dyDescent="0.25">
      <c r="B139" s="2">
        <v>40695</v>
      </c>
      <c r="C139">
        <v>11575764</v>
      </c>
    </row>
    <row r="140" spans="2:3" x14ac:dyDescent="0.25">
      <c r="B140" s="2">
        <v>40725</v>
      </c>
      <c r="C140">
        <v>7597394</v>
      </c>
    </row>
    <row r="141" spans="2:3" x14ac:dyDescent="0.25">
      <c r="B141" s="2">
        <v>40756</v>
      </c>
      <c r="C141">
        <v>998907</v>
      </c>
    </row>
    <row r="142" spans="2:3" x14ac:dyDescent="0.25">
      <c r="B142" s="2">
        <v>40787</v>
      </c>
      <c r="C142">
        <v>232569</v>
      </c>
    </row>
    <row r="143" spans="2:3" x14ac:dyDescent="0.25">
      <c r="B143" s="2">
        <v>40817</v>
      </c>
      <c r="C143">
        <v>458897</v>
      </c>
    </row>
    <row r="144" spans="2:3" x14ac:dyDescent="0.25">
      <c r="B144" s="2">
        <v>40848</v>
      </c>
      <c r="C144">
        <v>5007070</v>
      </c>
    </row>
    <row r="145" spans="2:3" x14ac:dyDescent="0.25">
      <c r="B145" s="2">
        <v>40878</v>
      </c>
      <c r="C145">
        <v>6093828</v>
      </c>
    </row>
    <row r="146" spans="2:3" x14ac:dyDescent="0.25">
      <c r="B146" s="2">
        <v>40909</v>
      </c>
      <c r="C146">
        <v>3194663</v>
      </c>
    </row>
    <row r="147" spans="2:3" x14ac:dyDescent="0.25">
      <c r="B147" s="2">
        <v>40940</v>
      </c>
      <c r="C147">
        <v>3182927</v>
      </c>
    </row>
    <row r="148" spans="2:3" x14ac:dyDescent="0.25">
      <c r="B148" s="2">
        <v>40969</v>
      </c>
      <c r="C148">
        <v>320007</v>
      </c>
    </row>
    <row r="149" spans="2:3" x14ac:dyDescent="0.25">
      <c r="B149" s="2">
        <v>41000</v>
      </c>
      <c r="C149">
        <v>3833273</v>
      </c>
    </row>
    <row r="150" spans="2:3" x14ac:dyDescent="0.25">
      <c r="B150" s="2">
        <v>41030</v>
      </c>
      <c r="C150">
        <v>91530</v>
      </c>
    </row>
    <row r="151" spans="2:3" x14ac:dyDescent="0.25">
      <c r="B151" s="2">
        <v>41061</v>
      </c>
      <c r="C151">
        <v>1283500</v>
      </c>
    </row>
    <row r="152" spans="2:3" x14ac:dyDescent="0.25">
      <c r="B152" s="2">
        <v>41091</v>
      </c>
      <c r="C152">
        <v>2154627</v>
      </c>
    </row>
    <row r="153" spans="2:3" x14ac:dyDescent="0.25">
      <c r="B153" s="2">
        <v>41122</v>
      </c>
      <c r="C153">
        <v>234266</v>
      </c>
    </row>
    <row r="154" spans="2:3" x14ac:dyDescent="0.25">
      <c r="B154" s="2">
        <v>41153</v>
      </c>
      <c r="C154">
        <v>1193193</v>
      </c>
    </row>
    <row r="155" spans="2:3" x14ac:dyDescent="0.25">
      <c r="B155" s="2">
        <v>41183</v>
      </c>
      <c r="C155">
        <v>12996328</v>
      </c>
    </row>
    <row r="156" spans="2:3" x14ac:dyDescent="0.25">
      <c r="B156" s="2">
        <v>41214</v>
      </c>
      <c r="C156">
        <v>12503571</v>
      </c>
    </row>
    <row r="157" spans="2:3" x14ac:dyDescent="0.25">
      <c r="B157" s="2">
        <v>41244</v>
      </c>
      <c r="C157">
        <v>15838073</v>
      </c>
    </row>
    <row r="158" spans="2:3" x14ac:dyDescent="0.25">
      <c r="B158" s="2">
        <v>41275</v>
      </c>
      <c r="C158">
        <v>48827</v>
      </c>
    </row>
    <row r="159" spans="2:3" x14ac:dyDescent="0.25">
      <c r="B159" s="2">
        <v>41306</v>
      </c>
      <c r="C159">
        <v>0</v>
      </c>
    </row>
    <row r="160" spans="2:3" x14ac:dyDescent="0.25">
      <c r="B160" s="2">
        <v>41334</v>
      </c>
      <c r="C160">
        <v>0</v>
      </c>
    </row>
    <row r="161" spans="2:3" x14ac:dyDescent="0.25">
      <c r="B161" s="2">
        <v>41365</v>
      </c>
      <c r="C161">
        <v>5311528</v>
      </c>
    </row>
    <row r="162" spans="2:3" x14ac:dyDescent="0.25">
      <c r="B162" s="2">
        <v>41395</v>
      </c>
      <c r="C162">
        <v>5045682</v>
      </c>
    </row>
    <row r="163" spans="2:3" x14ac:dyDescent="0.25">
      <c r="B163" s="2">
        <v>41426</v>
      </c>
      <c r="C163">
        <v>4927138</v>
      </c>
    </row>
    <row r="164" spans="2:3" x14ac:dyDescent="0.25">
      <c r="B164" s="2">
        <v>41456</v>
      </c>
      <c r="C164">
        <v>14604</v>
      </c>
    </row>
    <row r="165" spans="2:3" x14ac:dyDescent="0.25">
      <c r="B165" s="2">
        <v>41487</v>
      </c>
      <c r="C165">
        <v>1287308</v>
      </c>
    </row>
    <row r="166" spans="2:3" x14ac:dyDescent="0.25">
      <c r="B166" s="2">
        <v>41518</v>
      </c>
      <c r="C166">
        <v>24548</v>
      </c>
    </row>
    <row r="167" spans="2:3" x14ac:dyDescent="0.25">
      <c r="B167" s="2">
        <v>41548</v>
      </c>
      <c r="C167">
        <v>764611</v>
      </c>
    </row>
    <row r="168" spans="2:3" x14ac:dyDescent="0.25">
      <c r="B168" s="2">
        <v>41579</v>
      </c>
      <c r="C168">
        <v>639682</v>
      </c>
    </row>
    <row r="169" spans="2:3" x14ac:dyDescent="0.25">
      <c r="B169" s="2">
        <v>41609</v>
      </c>
      <c r="C169">
        <v>1362196</v>
      </c>
    </row>
    <row r="170" spans="2:3" x14ac:dyDescent="0.25">
      <c r="B170" s="2">
        <v>41640</v>
      </c>
      <c r="C170">
        <v>144403</v>
      </c>
    </row>
    <row r="171" spans="2:3" x14ac:dyDescent="0.25">
      <c r="B171" s="2">
        <v>41671</v>
      </c>
      <c r="C171">
        <v>684396</v>
      </c>
    </row>
    <row r="172" spans="2:3" x14ac:dyDescent="0.25">
      <c r="B172" s="2">
        <v>41699</v>
      </c>
      <c r="C172">
        <v>554239</v>
      </c>
    </row>
    <row r="173" spans="2:3" x14ac:dyDescent="0.25">
      <c r="B173" s="2">
        <v>41730</v>
      </c>
      <c r="C173">
        <v>4940450</v>
      </c>
    </row>
    <row r="174" spans="2:3" x14ac:dyDescent="0.25">
      <c r="B174" s="2">
        <v>41760</v>
      </c>
      <c r="C174">
        <v>4777666</v>
      </c>
    </row>
    <row r="175" spans="2:3" x14ac:dyDescent="0.25">
      <c r="B175" s="2">
        <v>41791</v>
      </c>
      <c r="C175">
        <v>7012154</v>
      </c>
    </row>
    <row r="176" spans="2:3" x14ac:dyDescent="0.25">
      <c r="B176" s="2">
        <v>41821</v>
      </c>
      <c r="C176">
        <v>342837</v>
      </c>
    </row>
    <row r="177" spans="2:3" x14ac:dyDescent="0.25">
      <c r="B177" s="2">
        <v>41852</v>
      </c>
      <c r="C177">
        <v>8489775</v>
      </c>
    </row>
    <row r="178" spans="2:3" x14ac:dyDescent="0.25">
      <c r="B178" s="2">
        <v>41883</v>
      </c>
      <c r="C178">
        <v>0</v>
      </c>
    </row>
    <row r="179" spans="2:3" x14ac:dyDescent="0.25">
      <c r="B179" s="2">
        <v>41913</v>
      </c>
      <c r="C179">
        <v>1805576</v>
      </c>
    </row>
    <row r="180" spans="2:3" x14ac:dyDescent="0.25">
      <c r="B180" s="2">
        <v>41944</v>
      </c>
      <c r="C180">
        <v>1188109</v>
      </c>
    </row>
    <row r="181" spans="2:3" x14ac:dyDescent="0.25">
      <c r="B181" s="2">
        <v>41974</v>
      </c>
      <c r="C181">
        <v>17993306</v>
      </c>
    </row>
    <row r="182" spans="2:3" x14ac:dyDescent="0.25">
      <c r="B182" s="2">
        <v>42005</v>
      </c>
      <c r="C182">
        <v>418578</v>
      </c>
    </row>
    <row r="183" spans="2:3" x14ac:dyDescent="0.25">
      <c r="B183" s="2">
        <v>42036</v>
      </c>
      <c r="C183">
        <v>208</v>
      </c>
    </row>
    <row r="184" spans="2:3" x14ac:dyDescent="0.25">
      <c r="B184" s="2">
        <v>42064</v>
      </c>
      <c r="C184">
        <v>72591</v>
      </c>
    </row>
    <row r="185" spans="2:3" x14ac:dyDescent="0.25">
      <c r="B185" s="2">
        <v>42095</v>
      </c>
      <c r="C185">
        <v>2629964</v>
      </c>
    </row>
    <row r="186" spans="2:3" x14ac:dyDescent="0.25">
      <c r="B186" s="2">
        <v>42125</v>
      </c>
      <c r="C186">
        <v>5998161</v>
      </c>
    </row>
    <row r="187" spans="2:3" x14ac:dyDescent="0.25">
      <c r="B187" s="2">
        <v>42156</v>
      </c>
      <c r="C187">
        <v>4900578</v>
      </c>
    </row>
    <row r="188" spans="2:3" x14ac:dyDescent="0.25">
      <c r="B188" s="2">
        <v>42186</v>
      </c>
      <c r="C188">
        <v>714152</v>
      </c>
    </row>
    <row r="189" spans="2:3" x14ac:dyDescent="0.25">
      <c r="B189" s="2">
        <v>42217</v>
      </c>
      <c r="C189">
        <v>4315525</v>
      </c>
    </row>
    <row r="190" spans="2:3" x14ac:dyDescent="0.25">
      <c r="B190" s="2">
        <v>42248</v>
      </c>
      <c r="C190">
        <v>2251955</v>
      </c>
    </row>
    <row r="191" spans="2:3" x14ac:dyDescent="0.25">
      <c r="B191" s="2">
        <v>42278</v>
      </c>
      <c r="C191">
        <v>894766</v>
      </c>
    </row>
    <row r="192" spans="2:3" x14ac:dyDescent="0.25">
      <c r="B192" s="2">
        <v>42309</v>
      </c>
      <c r="C192">
        <v>3516572</v>
      </c>
    </row>
    <row r="193" spans="2:3" x14ac:dyDescent="0.25">
      <c r="B193" s="2">
        <v>42339</v>
      </c>
      <c r="C193">
        <v>4148736</v>
      </c>
    </row>
    <row r="194" spans="2:3" x14ac:dyDescent="0.25">
      <c r="B194" s="2">
        <v>42370</v>
      </c>
      <c r="C194">
        <v>1733762</v>
      </c>
    </row>
    <row r="195" spans="2:3" x14ac:dyDescent="0.25">
      <c r="B195" s="2">
        <v>42401</v>
      </c>
      <c r="C195">
        <v>4772471</v>
      </c>
    </row>
    <row r="196" spans="2:3" x14ac:dyDescent="0.25">
      <c r="B196" s="2">
        <v>42430</v>
      </c>
      <c r="C196">
        <v>624470</v>
      </c>
    </row>
    <row r="197" spans="2:3" x14ac:dyDescent="0.25">
      <c r="B197" s="2">
        <v>42461</v>
      </c>
      <c r="C197">
        <v>8990717</v>
      </c>
    </row>
    <row r="198" spans="2:3" x14ac:dyDescent="0.25">
      <c r="B198" s="2">
        <v>42491</v>
      </c>
      <c r="C198">
        <v>1883099</v>
      </c>
    </row>
    <row r="199" spans="2:3" x14ac:dyDescent="0.25">
      <c r="B199" s="2">
        <v>42522</v>
      </c>
      <c r="C199">
        <v>15948714</v>
      </c>
    </row>
    <row r="200" spans="2:3" x14ac:dyDescent="0.25">
      <c r="B200" s="2">
        <v>42552</v>
      </c>
      <c r="C200">
        <v>9188216</v>
      </c>
    </row>
    <row r="201" spans="2:3" x14ac:dyDescent="0.25">
      <c r="B201" s="2">
        <v>42583</v>
      </c>
      <c r="C201">
        <v>663874</v>
      </c>
    </row>
    <row r="202" spans="2:3" x14ac:dyDescent="0.25">
      <c r="B202" s="2">
        <v>42614</v>
      </c>
      <c r="C202">
        <v>1163677</v>
      </c>
    </row>
    <row r="203" spans="2:3" x14ac:dyDescent="0.25">
      <c r="B203" s="2">
        <v>42644</v>
      </c>
      <c r="C203">
        <v>955826</v>
      </c>
    </row>
    <row r="204" spans="2:3" x14ac:dyDescent="0.25">
      <c r="B204" s="2">
        <v>42675</v>
      </c>
      <c r="C204">
        <v>315208</v>
      </c>
    </row>
    <row r="205" spans="2:3" x14ac:dyDescent="0.25">
      <c r="B205" s="2">
        <v>42705</v>
      </c>
      <c r="C205">
        <v>22433983</v>
      </c>
    </row>
    <row r="206" spans="2:3" x14ac:dyDescent="0.25">
      <c r="B206" s="2">
        <v>42736</v>
      </c>
      <c r="C206">
        <v>5893994</v>
      </c>
    </row>
    <row r="207" spans="2:3" x14ac:dyDescent="0.25">
      <c r="B207" s="2">
        <v>42767</v>
      </c>
      <c r="C207">
        <v>3371738</v>
      </c>
    </row>
    <row r="208" spans="2:3" x14ac:dyDescent="0.25">
      <c r="B208" s="2">
        <v>42795</v>
      </c>
      <c r="C208">
        <v>2958318</v>
      </c>
    </row>
    <row r="209" spans="2:3" x14ac:dyDescent="0.25">
      <c r="B209" s="2">
        <v>42826</v>
      </c>
      <c r="C209">
        <v>8619259</v>
      </c>
    </row>
    <row r="210" spans="2:3" x14ac:dyDescent="0.25">
      <c r="B210" s="2">
        <v>42856</v>
      </c>
      <c r="C210">
        <v>564397</v>
      </c>
    </row>
    <row r="211" spans="2:3" x14ac:dyDescent="0.25">
      <c r="B211" s="2">
        <v>42887</v>
      </c>
      <c r="C211">
        <v>10529953</v>
      </c>
    </row>
    <row r="212" spans="2:3" x14ac:dyDescent="0.25">
      <c r="B212" s="2">
        <v>42917</v>
      </c>
      <c r="C212">
        <v>8170090</v>
      </c>
    </row>
    <row r="213" spans="2:3" x14ac:dyDescent="0.25">
      <c r="B213" s="2">
        <v>42948</v>
      </c>
      <c r="C213">
        <v>473076</v>
      </c>
    </row>
    <row r="214" spans="2:3" x14ac:dyDescent="0.25">
      <c r="B214" s="2">
        <v>42979</v>
      </c>
      <c r="C214">
        <v>632403</v>
      </c>
    </row>
    <row r="215" spans="2:3" x14ac:dyDescent="0.25">
      <c r="B215" s="2">
        <v>43009</v>
      </c>
      <c r="C215">
        <v>373665</v>
      </c>
    </row>
    <row r="216" spans="2:3" x14ac:dyDescent="0.25">
      <c r="B216" s="2">
        <v>43040</v>
      </c>
      <c r="C216">
        <v>2438440</v>
      </c>
    </row>
    <row r="217" spans="2:3" x14ac:dyDescent="0.25">
      <c r="B217" s="2">
        <v>43070</v>
      </c>
      <c r="C217">
        <v>11671488</v>
      </c>
    </row>
    <row r="218" spans="2:3" x14ac:dyDescent="0.25">
      <c r="B218" s="2">
        <v>43101</v>
      </c>
      <c r="C218">
        <v>3186624</v>
      </c>
    </row>
    <row r="219" spans="2:3" x14ac:dyDescent="0.25">
      <c r="B219" s="2">
        <v>43132</v>
      </c>
      <c r="C219">
        <v>500519</v>
      </c>
    </row>
    <row r="220" spans="2:3" x14ac:dyDescent="0.25">
      <c r="B220" s="2">
        <v>43160</v>
      </c>
      <c r="C220">
        <v>746365</v>
      </c>
    </row>
    <row r="221" spans="2:3" x14ac:dyDescent="0.25">
      <c r="B221" s="2">
        <v>43191</v>
      </c>
      <c r="C221">
        <v>21827955</v>
      </c>
    </row>
    <row r="222" spans="2:3" x14ac:dyDescent="0.25">
      <c r="B222" s="2">
        <v>43221</v>
      </c>
      <c r="C222">
        <v>10312860</v>
      </c>
    </row>
    <row r="223" spans="2:3" x14ac:dyDescent="0.25">
      <c r="B223" s="2">
        <v>43252</v>
      </c>
      <c r="C223">
        <v>7452629</v>
      </c>
    </row>
    <row r="224" spans="2:3" x14ac:dyDescent="0.25">
      <c r="B224" s="2">
        <v>43282</v>
      </c>
      <c r="C224">
        <v>3500983</v>
      </c>
    </row>
    <row r="225" spans="2:3" x14ac:dyDescent="0.25">
      <c r="B225" s="2">
        <v>43313</v>
      </c>
      <c r="C225">
        <v>2406216</v>
      </c>
    </row>
    <row r="226" spans="2:3" x14ac:dyDescent="0.25">
      <c r="B226" s="2">
        <v>43344</v>
      </c>
      <c r="C226">
        <v>5886206</v>
      </c>
    </row>
    <row r="227" spans="2:3" x14ac:dyDescent="0.25">
      <c r="B227" s="2">
        <v>43374</v>
      </c>
      <c r="C227">
        <v>5001506</v>
      </c>
    </row>
    <row r="228" spans="2:3" x14ac:dyDescent="0.25">
      <c r="B228" s="2">
        <v>43405</v>
      </c>
      <c r="C228">
        <v>11947720</v>
      </c>
    </row>
    <row r="229" spans="2:3" x14ac:dyDescent="0.25">
      <c r="B229" s="2">
        <v>43435</v>
      </c>
      <c r="C229">
        <v>28017522</v>
      </c>
    </row>
    <row r="230" spans="2:3" x14ac:dyDescent="0.25">
      <c r="B230" s="2">
        <v>43466</v>
      </c>
      <c r="C230">
        <v>2600036</v>
      </c>
    </row>
    <row r="231" spans="2:3" x14ac:dyDescent="0.25">
      <c r="B231" s="2">
        <v>43497</v>
      </c>
      <c r="C231">
        <v>1292975</v>
      </c>
    </row>
    <row r="232" spans="2:3" x14ac:dyDescent="0.25">
      <c r="B232" s="2">
        <v>43525</v>
      </c>
      <c r="C232">
        <v>15257508</v>
      </c>
    </row>
    <row r="233" spans="2:3" x14ac:dyDescent="0.25">
      <c r="B233" s="2">
        <v>43556</v>
      </c>
      <c r="C233">
        <v>690300</v>
      </c>
    </row>
    <row r="234" spans="2:3" x14ac:dyDescent="0.25">
      <c r="B234" s="2">
        <v>43586</v>
      </c>
      <c r="C234">
        <v>6435388</v>
      </c>
    </row>
    <row r="235" spans="2:3" x14ac:dyDescent="0.25">
      <c r="B235" s="2">
        <v>43617</v>
      </c>
      <c r="C235">
        <v>5606362</v>
      </c>
    </row>
    <row r="236" spans="2:3" x14ac:dyDescent="0.25">
      <c r="B236" s="2">
        <v>43647</v>
      </c>
      <c r="C236">
        <v>1529705</v>
      </c>
    </row>
    <row r="237" spans="2:3" x14ac:dyDescent="0.25">
      <c r="B237" s="2">
        <v>43678</v>
      </c>
      <c r="C237">
        <v>1211867</v>
      </c>
    </row>
    <row r="238" spans="2:3" x14ac:dyDescent="0.25">
      <c r="B238" s="2">
        <v>43709</v>
      </c>
      <c r="C238">
        <v>2777192</v>
      </c>
    </row>
    <row r="239" spans="2:3" x14ac:dyDescent="0.25">
      <c r="B239" s="2">
        <v>43739</v>
      </c>
      <c r="C239">
        <v>519642</v>
      </c>
    </row>
    <row r="240" spans="2:3" x14ac:dyDescent="0.25">
      <c r="B240" s="2">
        <v>43770</v>
      </c>
      <c r="C240">
        <v>3442509</v>
      </c>
    </row>
    <row r="241" spans="2:11" x14ac:dyDescent="0.25">
      <c r="B241" s="2">
        <v>43800</v>
      </c>
      <c r="C241">
        <v>15229561</v>
      </c>
    </row>
    <row r="242" spans="2:11" x14ac:dyDescent="0.25">
      <c r="B242" s="2">
        <v>43831</v>
      </c>
      <c r="C242">
        <v>5162882</v>
      </c>
    </row>
    <row r="243" spans="2:11" x14ac:dyDescent="0.25">
      <c r="B243" s="2">
        <v>43862</v>
      </c>
      <c r="C243">
        <v>4707805</v>
      </c>
    </row>
    <row r="244" spans="2:11" x14ac:dyDescent="0.25">
      <c r="B244" s="2">
        <v>43891</v>
      </c>
      <c r="C244">
        <v>8683372</v>
      </c>
    </row>
    <row r="245" spans="2:11" x14ac:dyDescent="0.25">
      <c r="B245" s="2">
        <v>43922</v>
      </c>
      <c r="C245">
        <v>8814647</v>
      </c>
    </row>
    <row r="246" spans="2:11" x14ac:dyDescent="0.25">
      <c r="B246" s="2">
        <v>43952</v>
      </c>
      <c r="C246">
        <v>6686170</v>
      </c>
    </row>
    <row r="247" spans="2:11" x14ac:dyDescent="0.25">
      <c r="B247" s="2">
        <v>43983</v>
      </c>
      <c r="C247">
        <v>4033597</v>
      </c>
    </row>
    <row r="248" spans="2:11" x14ac:dyDescent="0.25">
      <c r="B248" s="2">
        <v>44013</v>
      </c>
      <c r="C248">
        <v>1364330</v>
      </c>
    </row>
    <row r="249" spans="2:11" x14ac:dyDescent="0.25">
      <c r="B249" s="2">
        <v>44044</v>
      </c>
      <c r="C249">
        <v>1497231</v>
      </c>
    </row>
    <row r="250" spans="2:11" x14ac:dyDescent="0.25">
      <c r="B250" s="2">
        <v>44075</v>
      </c>
      <c r="C250">
        <v>5534295</v>
      </c>
    </row>
    <row r="251" spans="2:11" x14ac:dyDescent="0.25">
      <c r="B251" s="2">
        <v>44105</v>
      </c>
      <c r="C251">
        <v>3794730</v>
      </c>
    </row>
    <row r="252" spans="2:11" x14ac:dyDescent="0.25">
      <c r="B252" s="2">
        <v>44136</v>
      </c>
      <c r="C252">
        <v>4661863</v>
      </c>
    </row>
    <row r="253" spans="2:11" x14ac:dyDescent="0.25">
      <c r="B253" s="2">
        <v>44166</v>
      </c>
      <c r="C253">
        <v>20152259</v>
      </c>
      <c r="K253" s="2"/>
    </row>
    <row r="254" spans="2:11" x14ac:dyDescent="0.25">
      <c r="B254" s="2">
        <v>44197</v>
      </c>
      <c r="C254">
        <v>6794126</v>
      </c>
      <c r="K254" s="2"/>
    </row>
    <row r="255" spans="2:11" x14ac:dyDescent="0.25">
      <c r="B255" s="2">
        <v>44228</v>
      </c>
      <c r="C255">
        <v>1949146</v>
      </c>
      <c r="K255" s="2"/>
    </row>
    <row r="256" spans="2:11" x14ac:dyDescent="0.25">
      <c r="B256" s="2">
        <v>44256</v>
      </c>
      <c r="C256">
        <v>5507837</v>
      </c>
      <c r="K256" s="2"/>
    </row>
    <row r="257" spans="2:16" x14ac:dyDescent="0.25">
      <c r="B257" s="2">
        <v>44287</v>
      </c>
      <c r="C257">
        <v>5676948</v>
      </c>
      <c r="K257" s="2"/>
    </row>
    <row r="258" spans="2:16" x14ac:dyDescent="0.25">
      <c r="B258" s="2">
        <v>44317</v>
      </c>
      <c r="C258">
        <v>3476194</v>
      </c>
      <c r="K258" s="2"/>
      <c r="L258" s="3"/>
    </row>
    <row r="259" spans="2:16" ht="17.25" x14ac:dyDescent="0.3">
      <c r="B259" s="2">
        <v>44348</v>
      </c>
      <c r="C259">
        <v>4539731</v>
      </c>
      <c r="E259" s="8" t="s">
        <v>16</v>
      </c>
      <c r="F259" s="8" t="s">
        <v>19</v>
      </c>
      <c r="K259" s="2"/>
    </row>
    <row r="260" spans="2:16" x14ac:dyDescent="0.25">
      <c r="B260" s="2">
        <v>44378</v>
      </c>
      <c r="C260">
        <v>5499739</v>
      </c>
      <c r="D260" s="4">
        <v>2839278.5603646599</v>
      </c>
      <c r="E260" s="4">
        <f t="shared" ref="E260:E277" si="0">ABS((C260-D260)/C260)</f>
        <v>0.48374303573957605</v>
      </c>
      <c r="F260" s="5">
        <f>ABS(C260-D260)</f>
        <v>2660460.4396353401</v>
      </c>
      <c r="H260" s="6"/>
      <c r="K260" s="2"/>
    </row>
    <row r="261" spans="2:16" x14ac:dyDescent="0.25">
      <c r="B261" s="2">
        <v>44409</v>
      </c>
      <c r="C261">
        <v>2580244</v>
      </c>
      <c r="D261" s="4">
        <v>2862289.76555011</v>
      </c>
      <c r="E261" s="4">
        <f t="shared" si="0"/>
        <v>0.10930972634762837</v>
      </c>
      <c r="F261" s="5">
        <f t="shared" ref="F261:F277" si="1">ABS(C261-D261)</f>
        <v>282045.76555011002</v>
      </c>
      <c r="K261" s="2"/>
      <c r="O261" s="2"/>
    </row>
    <row r="262" spans="2:16" x14ac:dyDescent="0.25">
      <c r="B262" s="2">
        <v>44440</v>
      </c>
      <c r="C262">
        <v>1996721</v>
      </c>
      <c r="D262" s="4">
        <v>3380794.2591353701</v>
      </c>
      <c r="E262" s="4">
        <f t="shared" si="0"/>
        <v>0.69317308684356505</v>
      </c>
      <c r="F262" s="5">
        <f t="shared" si="1"/>
        <v>1384073.2591353701</v>
      </c>
      <c r="K262" s="2"/>
      <c r="O262" s="2"/>
    </row>
    <row r="263" spans="2:16" x14ac:dyDescent="0.25">
      <c r="B263" s="2">
        <v>44470</v>
      </c>
      <c r="C263">
        <v>14743853</v>
      </c>
      <c r="D263" s="4">
        <v>2281966.3867146</v>
      </c>
      <c r="E263" s="4">
        <f t="shared" si="0"/>
        <v>0.84522591301509853</v>
      </c>
      <c r="F263" s="5">
        <f>ABS(C263-D263)</f>
        <v>12461886.6132854</v>
      </c>
      <c r="K263" s="2"/>
      <c r="O263" s="2"/>
    </row>
    <row r="264" spans="2:16" x14ac:dyDescent="0.25">
      <c r="B264" s="2">
        <v>44501</v>
      </c>
      <c r="C264">
        <v>3574557</v>
      </c>
      <c r="D264" s="4">
        <v>8879592.1103713997</v>
      </c>
      <c r="E264" s="4">
        <f t="shared" si="0"/>
        <v>1.4841098100747587</v>
      </c>
      <c r="F264" s="5">
        <f t="shared" si="1"/>
        <v>5305035.1103713997</v>
      </c>
      <c r="K264" s="2"/>
      <c r="O264" s="2"/>
    </row>
    <row r="265" spans="2:16" x14ac:dyDescent="0.25">
      <c r="B265" s="2">
        <v>44531</v>
      </c>
      <c r="C265">
        <v>14987686</v>
      </c>
      <c r="D265" s="4">
        <v>16298567.0345954</v>
      </c>
      <c r="E265" s="4">
        <f t="shared" si="0"/>
        <v>8.7463870980176661E-2</v>
      </c>
      <c r="F265" s="5">
        <f t="shared" si="1"/>
        <v>1310881.0345954001</v>
      </c>
      <c r="K265" s="2"/>
      <c r="O265" s="2"/>
    </row>
    <row r="266" spans="2:16" x14ac:dyDescent="0.25">
      <c r="B266" s="2">
        <v>44562</v>
      </c>
      <c r="C266">
        <v>4042415</v>
      </c>
      <c r="D266" s="4">
        <v>4717972.8431998901</v>
      </c>
      <c r="E266" s="4">
        <f t="shared" si="0"/>
        <v>0.16711738977811286</v>
      </c>
      <c r="F266" s="5">
        <f t="shared" si="1"/>
        <v>675557.84319989011</v>
      </c>
      <c r="H266" s="2"/>
      <c r="I266" s="2"/>
      <c r="K266" s="2"/>
      <c r="O266" s="2"/>
      <c r="P266" s="3"/>
    </row>
    <row r="267" spans="2:16" x14ac:dyDescent="0.25">
      <c r="B267" s="2">
        <v>44593</v>
      </c>
      <c r="C267">
        <v>1030123</v>
      </c>
      <c r="D267" s="4">
        <v>3293277.1271432498</v>
      </c>
      <c r="E267" s="4">
        <f t="shared" si="0"/>
        <v>2.1969746594758583</v>
      </c>
      <c r="F267" s="5">
        <f t="shared" si="1"/>
        <v>2263154.1271432498</v>
      </c>
      <c r="H267" s="2"/>
      <c r="I267" s="2"/>
      <c r="K267" s="2"/>
      <c r="O267" s="2"/>
    </row>
    <row r="268" spans="2:16" x14ac:dyDescent="0.25">
      <c r="B268" s="2">
        <v>44621</v>
      </c>
      <c r="C268">
        <v>4708485</v>
      </c>
      <c r="D268" s="4">
        <v>6423488.7922165301</v>
      </c>
      <c r="E268" s="4">
        <f t="shared" si="0"/>
        <v>0.36423686009757494</v>
      </c>
      <c r="F268" s="5">
        <f t="shared" si="1"/>
        <v>1715003.7922165301</v>
      </c>
      <c r="H268" s="2"/>
      <c r="I268" s="2"/>
      <c r="K268" s="2"/>
      <c r="O268" s="2"/>
    </row>
    <row r="269" spans="2:16" x14ac:dyDescent="0.25">
      <c r="B269" s="2">
        <v>44652</v>
      </c>
      <c r="C269">
        <v>6024615</v>
      </c>
      <c r="D269" s="4">
        <v>8246528.4246182898</v>
      </c>
      <c r="E269" s="4">
        <f t="shared" si="0"/>
        <v>0.36880587798860009</v>
      </c>
      <c r="F269" s="5">
        <f t="shared" si="1"/>
        <v>2221913.4246182898</v>
      </c>
      <c r="H269" s="2"/>
      <c r="I269" s="2"/>
      <c r="K269" s="2"/>
      <c r="O269" s="2"/>
    </row>
    <row r="270" spans="2:16" x14ac:dyDescent="0.25">
      <c r="B270" s="2">
        <v>44682</v>
      </c>
      <c r="C270">
        <v>10373780</v>
      </c>
      <c r="D270" s="4">
        <v>6392228.6209648903</v>
      </c>
      <c r="E270" s="4">
        <f t="shared" si="0"/>
        <v>0.38380912059395028</v>
      </c>
      <c r="F270" s="5">
        <f t="shared" si="1"/>
        <v>3981551.3790351097</v>
      </c>
      <c r="H270" s="2"/>
      <c r="I270" s="2"/>
      <c r="K270" s="2"/>
      <c r="L270" s="3"/>
      <c r="O270" s="2"/>
    </row>
    <row r="271" spans="2:16" x14ac:dyDescent="0.25">
      <c r="B271" s="2">
        <v>44713</v>
      </c>
      <c r="C271">
        <v>8713963</v>
      </c>
      <c r="D271" s="4">
        <v>7288653.8495964399</v>
      </c>
      <c r="E271" s="4">
        <f t="shared" si="0"/>
        <v>0.16356612374915525</v>
      </c>
      <c r="F271" s="5">
        <f t="shared" si="1"/>
        <v>1425309.1504035601</v>
      </c>
      <c r="H271" s="2"/>
      <c r="I271" s="2"/>
      <c r="O271" s="2"/>
    </row>
    <row r="272" spans="2:16" x14ac:dyDescent="0.25">
      <c r="B272" s="2">
        <v>44743</v>
      </c>
      <c r="C272">
        <v>5938357</v>
      </c>
      <c r="D272" s="4">
        <v>4690786.0276506003</v>
      </c>
      <c r="E272" s="4">
        <f t="shared" si="0"/>
        <v>0.21008689311696815</v>
      </c>
      <c r="F272" s="5">
        <f t="shared" si="1"/>
        <v>1247570.9723493997</v>
      </c>
      <c r="O272" s="2"/>
    </row>
    <row r="273" spans="2:16" x14ac:dyDescent="0.25">
      <c r="B273" s="2">
        <v>44774</v>
      </c>
      <c r="C273">
        <v>1763571</v>
      </c>
      <c r="D273" s="4">
        <v>2936136.9384050099</v>
      </c>
      <c r="E273" s="4">
        <f t="shared" si="0"/>
        <v>0.66488161713081573</v>
      </c>
      <c r="F273" s="5">
        <f t="shared" si="1"/>
        <v>1172565.9384050099</v>
      </c>
      <c r="O273" s="2"/>
    </row>
    <row r="274" spans="2:16" x14ac:dyDescent="0.25">
      <c r="B274" s="2">
        <v>44805</v>
      </c>
      <c r="C274">
        <v>2681947</v>
      </c>
      <c r="D274" s="4">
        <v>3713936.0556043</v>
      </c>
      <c r="E274" s="4">
        <f t="shared" si="0"/>
        <v>0.3847909953493861</v>
      </c>
      <c r="F274" s="5">
        <f t="shared" si="1"/>
        <v>1031989.0556043</v>
      </c>
      <c r="O274" s="2"/>
    </row>
    <row r="275" spans="2:16" x14ac:dyDescent="0.25">
      <c r="B275" s="2">
        <v>44835</v>
      </c>
      <c r="C275">
        <v>1251071</v>
      </c>
      <c r="D275" s="4">
        <v>6264960.3662560498</v>
      </c>
      <c r="E275" s="4">
        <f t="shared" si="0"/>
        <v>4.0076777147388514</v>
      </c>
      <c r="F275" s="5">
        <f t="shared" si="1"/>
        <v>5013889.3662560498</v>
      </c>
      <c r="O275" s="2"/>
    </row>
    <row r="276" spans="2:16" x14ac:dyDescent="0.25">
      <c r="B276" s="2">
        <v>44866</v>
      </c>
      <c r="C276">
        <v>5233782</v>
      </c>
      <c r="D276" s="4">
        <v>5085404.8416444203</v>
      </c>
      <c r="E276" s="4">
        <f t="shared" si="0"/>
        <v>2.8349892745930135E-2</v>
      </c>
      <c r="F276" s="5">
        <f t="shared" si="1"/>
        <v>148377.15835557971</v>
      </c>
      <c r="O276" s="2"/>
    </row>
    <row r="277" spans="2:16" x14ac:dyDescent="0.25">
      <c r="B277" s="2">
        <v>44896</v>
      </c>
      <c r="C277">
        <v>8074980</v>
      </c>
      <c r="D277" s="4">
        <v>16967604.962326601</v>
      </c>
      <c r="E277" s="4">
        <f t="shared" si="0"/>
        <v>1.1012565928741125</v>
      </c>
      <c r="F277" s="5">
        <f t="shared" si="1"/>
        <v>8892624.9623266011</v>
      </c>
      <c r="O277" s="2"/>
    </row>
    <row r="278" spans="2:16" x14ac:dyDescent="0.25">
      <c r="E278" s="9">
        <f>AVERAGE(E260:E277)</f>
        <v>0.76358773225778453</v>
      </c>
      <c r="F278" s="9">
        <f>AVERAGE(F260:F277)</f>
        <v>2955216.0773603655</v>
      </c>
      <c r="O278" s="2"/>
      <c r="P27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92FD-2AD9-4620-951F-09313BC97090}">
  <dimension ref="A1:M278"/>
  <sheetViews>
    <sheetView workbookViewId="0">
      <pane xSplit="2" ySplit="1" topLeftCell="C248" activePane="bottomRight" state="frozen"/>
      <selection pane="topRight" activeCell="B1" sqref="B1"/>
      <selection pane="bottomLeft" activeCell="A2" sqref="A2"/>
      <selection pane="bottomRight" activeCell="E270" sqref="E270"/>
    </sheetView>
  </sheetViews>
  <sheetFormatPr defaultColWidth="14.28515625" defaultRowHeight="15" x14ac:dyDescent="0.25"/>
  <cols>
    <col min="1" max="1" width="35.85546875" bestFit="1" customWidth="1"/>
    <col min="2" max="2" width="14.42578125" bestFit="1" customWidth="1"/>
    <col min="3" max="3" width="19.5703125" bestFit="1" customWidth="1"/>
    <col min="4" max="4" width="20.7109375" bestFit="1" customWidth="1"/>
    <col min="5" max="5" width="37.42578125" bestFit="1" customWidth="1"/>
    <col min="6" max="6" width="22.28515625" bestFit="1" customWidth="1"/>
    <col min="8" max="8" width="8" bestFit="1" customWidth="1"/>
  </cols>
  <sheetData>
    <row r="1" spans="1:6" x14ac:dyDescent="0.25">
      <c r="A1" s="7" t="s">
        <v>15</v>
      </c>
      <c r="B1" t="s">
        <v>7</v>
      </c>
      <c r="C1" t="s">
        <v>8</v>
      </c>
      <c r="D1" t="s">
        <v>10</v>
      </c>
      <c r="E1" t="s">
        <v>17</v>
      </c>
      <c r="F1" t="s">
        <v>18</v>
      </c>
    </row>
    <row r="2" spans="1:6" x14ac:dyDescent="0.25">
      <c r="B2" s="2">
        <v>36526</v>
      </c>
      <c r="C2">
        <v>121670</v>
      </c>
    </row>
    <row r="3" spans="1:6" x14ac:dyDescent="0.25">
      <c r="B3" s="2">
        <v>36557</v>
      </c>
      <c r="C3">
        <v>0</v>
      </c>
    </row>
    <row r="4" spans="1:6" x14ac:dyDescent="0.25">
      <c r="B4" s="2">
        <v>36586</v>
      </c>
      <c r="C4">
        <v>0</v>
      </c>
    </row>
    <row r="5" spans="1:6" x14ac:dyDescent="0.25">
      <c r="B5" s="2">
        <v>36617</v>
      </c>
      <c r="C5">
        <v>1630925</v>
      </c>
    </row>
    <row r="6" spans="1:6" x14ac:dyDescent="0.25">
      <c r="B6" s="2">
        <v>36647</v>
      </c>
      <c r="C6">
        <v>12343071</v>
      </c>
    </row>
    <row r="7" spans="1:6" x14ac:dyDescent="0.25">
      <c r="B7" s="2">
        <v>36678</v>
      </c>
      <c r="C7">
        <v>10396080</v>
      </c>
    </row>
    <row r="8" spans="1:6" x14ac:dyDescent="0.25">
      <c r="B8" s="2">
        <v>36708</v>
      </c>
      <c r="C8">
        <v>5174232</v>
      </c>
    </row>
    <row r="9" spans="1:6" x14ac:dyDescent="0.25">
      <c r="B9" s="2">
        <v>36739</v>
      </c>
      <c r="C9">
        <v>3260662</v>
      </c>
    </row>
    <row r="10" spans="1:6" x14ac:dyDescent="0.25">
      <c r="B10" s="2">
        <v>36770</v>
      </c>
      <c r="C10">
        <v>26015</v>
      </c>
    </row>
    <row r="11" spans="1:6" x14ac:dyDescent="0.25">
      <c r="B11" s="2">
        <v>36800</v>
      </c>
      <c r="C11">
        <v>182739</v>
      </c>
    </row>
    <row r="12" spans="1:6" x14ac:dyDescent="0.25">
      <c r="B12" s="2">
        <v>36831</v>
      </c>
      <c r="C12">
        <v>0</v>
      </c>
    </row>
    <row r="13" spans="1:6" x14ac:dyDescent="0.25">
      <c r="B13" s="2">
        <v>36861</v>
      </c>
      <c r="C13">
        <v>10317340</v>
      </c>
    </row>
    <row r="14" spans="1:6" x14ac:dyDescent="0.25">
      <c r="B14" s="2">
        <v>36892</v>
      </c>
      <c r="C14">
        <v>187630</v>
      </c>
    </row>
    <row r="15" spans="1:6" x14ac:dyDescent="0.25">
      <c r="B15" s="2">
        <v>36923</v>
      </c>
      <c r="C15">
        <v>115640</v>
      </c>
    </row>
    <row r="16" spans="1:6" x14ac:dyDescent="0.25">
      <c r="B16" s="2">
        <v>36951</v>
      </c>
      <c r="C16">
        <v>2033805</v>
      </c>
    </row>
    <row r="17" spans="2:3" x14ac:dyDescent="0.25">
      <c r="B17" s="2">
        <v>36982</v>
      </c>
      <c r="C17">
        <v>2679394</v>
      </c>
    </row>
    <row r="18" spans="2:3" x14ac:dyDescent="0.25">
      <c r="B18" s="2">
        <v>37012</v>
      </c>
      <c r="C18">
        <v>10585486</v>
      </c>
    </row>
    <row r="19" spans="2:3" x14ac:dyDescent="0.25">
      <c r="B19" s="2">
        <v>37043</v>
      </c>
      <c r="C19">
        <v>6982546</v>
      </c>
    </row>
    <row r="20" spans="2:3" x14ac:dyDescent="0.25">
      <c r="B20" s="2">
        <v>37073</v>
      </c>
      <c r="C20">
        <v>9695330</v>
      </c>
    </row>
    <row r="21" spans="2:3" x14ac:dyDescent="0.25">
      <c r="B21" s="2">
        <v>37104</v>
      </c>
      <c r="C21">
        <v>14253564</v>
      </c>
    </row>
    <row r="22" spans="2:3" x14ac:dyDescent="0.25">
      <c r="B22" s="2">
        <v>37135</v>
      </c>
      <c r="C22">
        <v>3722336</v>
      </c>
    </row>
    <row r="23" spans="2:3" x14ac:dyDescent="0.25">
      <c r="B23" s="2">
        <v>37165</v>
      </c>
      <c r="C23">
        <v>68553</v>
      </c>
    </row>
    <row r="24" spans="2:3" x14ac:dyDescent="0.25">
      <c r="B24" s="2">
        <v>37196</v>
      </c>
      <c r="C24">
        <v>2954</v>
      </c>
    </row>
    <row r="25" spans="2:3" x14ac:dyDescent="0.25">
      <c r="B25" s="2">
        <v>37226</v>
      </c>
      <c r="C25">
        <v>5222585</v>
      </c>
    </row>
    <row r="26" spans="2:3" x14ac:dyDescent="0.25">
      <c r="B26" s="2">
        <v>37257</v>
      </c>
      <c r="C26">
        <v>8582638</v>
      </c>
    </row>
    <row r="27" spans="2:3" x14ac:dyDescent="0.25">
      <c r="B27" s="2">
        <v>37288</v>
      </c>
      <c r="C27">
        <v>6278114</v>
      </c>
    </row>
    <row r="28" spans="2:3" x14ac:dyDescent="0.25">
      <c r="B28" s="2">
        <v>37316</v>
      </c>
      <c r="C28">
        <v>2273313</v>
      </c>
    </row>
    <row r="29" spans="2:3" x14ac:dyDescent="0.25">
      <c r="B29" s="2">
        <v>37347</v>
      </c>
      <c r="C29">
        <v>7496329</v>
      </c>
    </row>
    <row r="30" spans="2:3" x14ac:dyDescent="0.25">
      <c r="B30" s="2">
        <v>37377</v>
      </c>
      <c r="C30">
        <v>25271074</v>
      </c>
    </row>
    <row r="31" spans="2:3" x14ac:dyDescent="0.25">
      <c r="B31" s="2">
        <v>37408</v>
      </c>
      <c r="C31">
        <v>24675022</v>
      </c>
    </row>
    <row r="32" spans="2:3" x14ac:dyDescent="0.25">
      <c r="B32" s="2">
        <v>37438</v>
      </c>
      <c r="C32">
        <v>20131998</v>
      </c>
    </row>
    <row r="33" spans="2:3" x14ac:dyDescent="0.25">
      <c r="B33" s="2">
        <v>37469</v>
      </c>
      <c r="C33">
        <v>15300577</v>
      </c>
    </row>
    <row r="34" spans="2:3" x14ac:dyDescent="0.25">
      <c r="B34" s="2">
        <v>37500</v>
      </c>
      <c r="C34">
        <v>1919411</v>
      </c>
    </row>
    <row r="35" spans="2:3" x14ac:dyDescent="0.25">
      <c r="B35" s="2">
        <v>37530</v>
      </c>
      <c r="C35">
        <v>11144954</v>
      </c>
    </row>
    <row r="36" spans="2:3" x14ac:dyDescent="0.25">
      <c r="B36" s="2">
        <v>37561</v>
      </c>
      <c r="C36">
        <v>90351</v>
      </c>
    </row>
    <row r="37" spans="2:3" x14ac:dyDescent="0.25">
      <c r="B37" s="2">
        <v>37591</v>
      </c>
      <c r="C37">
        <v>5649171</v>
      </c>
    </row>
    <row r="38" spans="2:3" x14ac:dyDescent="0.25">
      <c r="B38" s="2">
        <v>37622</v>
      </c>
      <c r="C38">
        <v>6283421</v>
      </c>
    </row>
    <row r="39" spans="2:3" x14ac:dyDescent="0.25">
      <c r="B39" s="2">
        <v>37653</v>
      </c>
      <c r="C39">
        <v>2525973</v>
      </c>
    </row>
    <row r="40" spans="2:3" x14ac:dyDescent="0.25">
      <c r="B40" s="2">
        <v>37681</v>
      </c>
      <c r="C40">
        <v>3671795</v>
      </c>
    </row>
    <row r="41" spans="2:3" x14ac:dyDescent="0.25">
      <c r="B41" s="2">
        <v>37712</v>
      </c>
      <c r="C41">
        <v>7352435</v>
      </c>
    </row>
    <row r="42" spans="2:3" x14ac:dyDescent="0.25">
      <c r="B42" s="2">
        <v>37742</v>
      </c>
      <c r="C42">
        <v>11266884</v>
      </c>
    </row>
    <row r="43" spans="2:3" x14ac:dyDescent="0.25">
      <c r="B43" s="2">
        <v>37773</v>
      </c>
      <c r="C43">
        <v>44196655</v>
      </c>
    </row>
    <row r="44" spans="2:3" x14ac:dyDescent="0.25">
      <c r="B44" s="2">
        <v>37803</v>
      </c>
      <c r="C44">
        <v>38329803</v>
      </c>
    </row>
    <row r="45" spans="2:3" x14ac:dyDescent="0.25">
      <c r="B45" s="2">
        <v>37834</v>
      </c>
      <c r="C45">
        <v>15768581</v>
      </c>
    </row>
    <row r="46" spans="2:3" x14ac:dyDescent="0.25">
      <c r="B46" s="2">
        <v>37865</v>
      </c>
      <c r="C46">
        <v>425474</v>
      </c>
    </row>
    <row r="47" spans="2:3" x14ac:dyDescent="0.25">
      <c r="B47" s="2">
        <v>37895</v>
      </c>
      <c r="C47">
        <v>2556536</v>
      </c>
    </row>
    <row r="48" spans="2:3" x14ac:dyDescent="0.25">
      <c r="B48" s="2">
        <v>37926</v>
      </c>
      <c r="C48">
        <v>775418</v>
      </c>
    </row>
    <row r="49" spans="2:3" x14ac:dyDescent="0.25">
      <c r="B49" s="2">
        <v>37956</v>
      </c>
      <c r="C49">
        <v>9097427</v>
      </c>
    </row>
    <row r="50" spans="2:3" x14ac:dyDescent="0.25">
      <c r="B50" s="2">
        <v>37987</v>
      </c>
      <c r="C50">
        <v>7647047</v>
      </c>
    </row>
    <row r="51" spans="2:3" x14ac:dyDescent="0.25">
      <c r="B51" s="2">
        <v>38018</v>
      </c>
      <c r="C51">
        <v>1831041</v>
      </c>
    </row>
    <row r="52" spans="2:3" x14ac:dyDescent="0.25">
      <c r="B52" s="2">
        <v>38047</v>
      </c>
      <c r="C52">
        <v>8039125</v>
      </c>
    </row>
    <row r="53" spans="2:3" x14ac:dyDescent="0.25">
      <c r="B53" s="2">
        <v>38078</v>
      </c>
      <c r="C53">
        <v>2775687</v>
      </c>
    </row>
    <row r="54" spans="2:3" x14ac:dyDescent="0.25">
      <c r="B54" s="2">
        <v>38108</v>
      </c>
      <c r="C54">
        <v>21819802</v>
      </c>
    </row>
    <row r="55" spans="2:3" x14ac:dyDescent="0.25">
      <c r="B55" s="2">
        <v>38139</v>
      </c>
      <c r="C55">
        <v>16505777</v>
      </c>
    </row>
    <row r="56" spans="2:3" x14ac:dyDescent="0.25">
      <c r="B56" s="2">
        <v>38169</v>
      </c>
      <c r="C56">
        <v>2388014</v>
      </c>
    </row>
    <row r="57" spans="2:3" x14ac:dyDescent="0.25">
      <c r="B57" s="2">
        <v>38200</v>
      </c>
      <c r="C57">
        <v>15054</v>
      </c>
    </row>
    <row r="58" spans="2:3" x14ac:dyDescent="0.25">
      <c r="B58" s="2">
        <v>38231</v>
      </c>
      <c r="C58">
        <v>1433750</v>
      </c>
    </row>
    <row r="59" spans="2:3" x14ac:dyDescent="0.25">
      <c r="B59" s="2">
        <v>38261</v>
      </c>
      <c r="C59">
        <v>0</v>
      </c>
    </row>
    <row r="60" spans="2:3" x14ac:dyDescent="0.25">
      <c r="B60" s="2">
        <v>38292</v>
      </c>
      <c r="C60">
        <v>1372518</v>
      </c>
    </row>
    <row r="61" spans="2:3" x14ac:dyDescent="0.25">
      <c r="B61" s="2">
        <v>38322</v>
      </c>
      <c r="C61">
        <v>5615917</v>
      </c>
    </row>
    <row r="62" spans="2:3" x14ac:dyDescent="0.25">
      <c r="B62" s="2">
        <v>38353</v>
      </c>
      <c r="C62">
        <v>92</v>
      </c>
    </row>
    <row r="63" spans="2:3" x14ac:dyDescent="0.25">
      <c r="B63" s="2">
        <v>38384</v>
      </c>
      <c r="C63">
        <v>2926780</v>
      </c>
    </row>
    <row r="64" spans="2:3" x14ac:dyDescent="0.25">
      <c r="B64" s="2">
        <v>38412</v>
      </c>
      <c r="C64">
        <v>564445</v>
      </c>
    </row>
    <row r="65" spans="2:3" x14ac:dyDescent="0.25">
      <c r="B65" s="2">
        <v>38443</v>
      </c>
      <c r="C65">
        <v>2916195</v>
      </c>
    </row>
    <row r="66" spans="2:3" x14ac:dyDescent="0.25">
      <c r="B66" s="2">
        <v>38473</v>
      </c>
      <c r="C66">
        <v>888769</v>
      </c>
    </row>
    <row r="67" spans="2:3" x14ac:dyDescent="0.25">
      <c r="B67" s="2">
        <v>38504</v>
      </c>
      <c r="C67">
        <v>22464156</v>
      </c>
    </row>
    <row r="68" spans="2:3" x14ac:dyDescent="0.25">
      <c r="B68" s="2">
        <v>38534</v>
      </c>
      <c r="C68">
        <v>5623114</v>
      </c>
    </row>
    <row r="69" spans="2:3" x14ac:dyDescent="0.25">
      <c r="B69" s="2">
        <v>38565</v>
      </c>
      <c r="C69">
        <v>0</v>
      </c>
    </row>
    <row r="70" spans="2:3" x14ac:dyDescent="0.25">
      <c r="B70" s="2">
        <v>38596</v>
      </c>
      <c r="C70">
        <v>991424</v>
      </c>
    </row>
    <row r="71" spans="2:3" x14ac:dyDescent="0.25">
      <c r="B71" s="2">
        <v>38626</v>
      </c>
      <c r="C71">
        <v>239448</v>
      </c>
    </row>
    <row r="72" spans="2:3" x14ac:dyDescent="0.25">
      <c r="B72" s="2">
        <v>38657</v>
      </c>
      <c r="C72">
        <v>969248</v>
      </c>
    </row>
    <row r="73" spans="2:3" x14ac:dyDescent="0.25">
      <c r="B73" s="2">
        <v>38687</v>
      </c>
      <c r="C73">
        <v>2659067</v>
      </c>
    </row>
    <row r="74" spans="2:3" x14ac:dyDescent="0.25">
      <c r="B74" s="2">
        <v>38718</v>
      </c>
      <c r="C74">
        <v>4939867</v>
      </c>
    </row>
    <row r="75" spans="2:3" x14ac:dyDescent="0.25">
      <c r="B75" s="2">
        <v>38749</v>
      </c>
      <c r="C75">
        <v>3186817</v>
      </c>
    </row>
    <row r="76" spans="2:3" x14ac:dyDescent="0.25">
      <c r="B76" s="2">
        <v>38777</v>
      </c>
      <c r="C76">
        <v>3401741</v>
      </c>
    </row>
    <row r="77" spans="2:3" x14ac:dyDescent="0.25">
      <c r="B77" s="2">
        <v>38808</v>
      </c>
      <c r="C77">
        <v>11901968</v>
      </c>
    </row>
    <row r="78" spans="2:3" x14ac:dyDescent="0.25">
      <c r="B78" s="2">
        <v>38838</v>
      </c>
      <c r="C78">
        <v>2684520</v>
      </c>
    </row>
    <row r="79" spans="2:3" x14ac:dyDescent="0.25">
      <c r="B79" s="2">
        <v>38869</v>
      </c>
      <c r="C79">
        <v>4594261</v>
      </c>
    </row>
    <row r="80" spans="2:3" x14ac:dyDescent="0.25">
      <c r="B80" s="2">
        <v>38899</v>
      </c>
      <c r="C80">
        <v>14581</v>
      </c>
    </row>
    <row r="81" spans="2:3" x14ac:dyDescent="0.25">
      <c r="B81" s="2">
        <v>38930</v>
      </c>
      <c r="C81">
        <v>41382</v>
      </c>
    </row>
    <row r="82" spans="2:3" x14ac:dyDescent="0.25">
      <c r="B82" s="2">
        <v>38961</v>
      </c>
      <c r="C82">
        <v>32794</v>
      </c>
    </row>
    <row r="83" spans="2:3" x14ac:dyDescent="0.25">
      <c r="B83" s="2">
        <v>38991</v>
      </c>
      <c r="C83">
        <v>930008</v>
      </c>
    </row>
    <row r="84" spans="2:3" x14ac:dyDescent="0.25">
      <c r="B84" s="2">
        <v>39022</v>
      </c>
      <c r="C84">
        <v>2160573</v>
      </c>
    </row>
    <row r="85" spans="2:3" x14ac:dyDescent="0.25">
      <c r="B85" s="2">
        <v>39052</v>
      </c>
      <c r="C85">
        <v>2730143</v>
      </c>
    </row>
    <row r="86" spans="2:3" x14ac:dyDescent="0.25">
      <c r="B86" s="2">
        <v>39083</v>
      </c>
      <c r="C86">
        <v>61857</v>
      </c>
    </row>
    <row r="87" spans="2:3" x14ac:dyDescent="0.25">
      <c r="B87" s="2">
        <v>39114</v>
      </c>
      <c r="C87">
        <v>89413</v>
      </c>
    </row>
    <row r="88" spans="2:3" x14ac:dyDescent="0.25">
      <c r="B88" s="2">
        <v>39142</v>
      </c>
      <c r="C88">
        <v>631253</v>
      </c>
    </row>
    <row r="89" spans="2:3" x14ac:dyDescent="0.25">
      <c r="B89" s="2">
        <v>39173</v>
      </c>
      <c r="C89">
        <v>219872</v>
      </c>
    </row>
    <row r="90" spans="2:3" x14ac:dyDescent="0.25">
      <c r="B90" s="2">
        <v>39203</v>
      </c>
      <c r="C90">
        <v>14948644</v>
      </c>
    </row>
    <row r="91" spans="2:3" x14ac:dyDescent="0.25">
      <c r="B91" s="2">
        <v>39234</v>
      </c>
      <c r="C91">
        <v>6526977</v>
      </c>
    </row>
    <row r="92" spans="2:3" x14ac:dyDescent="0.25">
      <c r="B92" s="2">
        <v>39264</v>
      </c>
      <c r="C92">
        <v>333343</v>
      </c>
    </row>
    <row r="93" spans="2:3" x14ac:dyDescent="0.25">
      <c r="B93" s="2">
        <v>39295</v>
      </c>
      <c r="C93">
        <v>201384</v>
      </c>
    </row>
    <row r="94" spans="2:3" x14ac:dyDescent="0.25">
      <c r="B94" s="2">
        <v>39326</v>
      </c>
      <c r="C94">
        <v>187317</v>
      </c>
    </row>
    <row r="95" spans="2:3" x14ac:dyDescent="0.25">
      <c r="B95" s="2">
        <v>39356</v>
      </c>
      <c r="C95">
        <v>1283194</v>
      </c>
    </row>
    <row r="96" spans="2:3" x14ac:dyDescent="0.25">
      <c r="B96" s="2">
        <v>39387</v>
      </c>
      <c r="C96">
        <v>657423</v>
      </c>
    </row>
    <row r="97" spans="2:3" x14ac:dyDescent="0.25">
      <c r="B97" s="2">
        <v>39417</v>
      </c>
      <c r="C97">
        <v>8585924</v>
      </c>
    </row>
    <row r="98" spans="2:3" x14ac:dyDescent="0.25">
      <c r="B98" s="2">
        <v>39448</v>
      </c>
      <c r="C98">
        <v>185454</v>
      </c>
    </row>
    <row r="99" spans="2:3" x14ac:dyDescent="0.25">
      <c r="B99" s="2">
        <v>39479</v>
      </c>
      <c r="C99">
        <v>329021</v>
      </c>
    </row>
    <row r="100" spans="2:3" x14ac:dyDescent="0.25">
      <c r="B100" s="2">
        <v>39508</v>
      </c>
      <c r="C100">
        <v>1192921</v>
      </c>
    </row>
    <row r="101" spans="2:3" x14ac:dyDescent="0.25">
      <c r="B101" s="2">
        <v>39539</v>
      </c>
      <c r="C101">
        <v>581849</v>
      </c>
    </row>
    <row r="102" spans="2:3" x14ac:dyDescent="0.25">
      <c r="B102" s="2">
        <v>39569</v>
      </c>
      <c r="C102">
        <v>21416280</v>
      </c>
    </row>
    <row r="103" spans="2:3" x14ac:dyDescent="0.25">
      <c r="B103" s="2">
        <v>39600</v>
      </c>
      <c r="C103">
        <v>1838064</v>
      </c>
    </row>
    <row r="104" spans="2:3" x14ac:dyDescent="0.25">
      <c r="B104" s="2">
        <v>39630</v>
      </c>
      <c r="C104">
        <v>5630489</v>
      </c>
    </row>
    <row r="105" spans="2:3" x14ac:dyDescent="0.25">
      <c r="B105" s="2">
        <v>39661</v>
      </c>
      <c r="C105">
        <v>314436</v>
      </c>
    </row>
    <row r="106" spans="2:3" x14ac:dyDescent="0.25">
      <c r="B106" s="2">
        <v>39692</v>
      </c>
      <c r="C106">
        <v>2777577</v>
      </c>
    </row>
    <row r="107" spans="2:3" x14ac:dyDescent="0.25">
      <c r="B107" s="2">
        <v>39722</v>
      </c>
      <c r="C107">
        <v>6321081</v>
      </c>
    </row>
    <row r="108" spans="2:3" x14ac:dyDescent="0.25">
      <c r="B108" s="2">
        <v>39753</v>
      </c>
      <c r="C108">
        <v>492718</v>
      </c>
    </row>
    <row r="109" spans="2:3" x14ac:dyDescent="0.25">
      <c r="B109" s="2">
        <v>39783</v>
      </c>
      <c r="C109">
        <v>2004777</v>
      </c>
    </row>
    <row r="110" spans="2:3" x14ac:dyDescent="0.25">
      <c r="B110" s="2">
        <v>39814</v>
      </c>
      <c r="C110">
        <v>2306982</v>
      </c>
    </row>
    <row r="111" spans="2:3" x14ac:dyDescent="0.25">
      <c r="B111" s="2">
        <v>39845</v>
      </c>
      <c r="C111">
        <v>1092647</v>
      </c>
    </row>
    <row r="112" spans="2:3" x14ac:dyDescent="0.25">
      <c r="B112" s="2">
        <v>39873</v>
      </c>
      <c r="C112">
        <v>54278</v>
      </c>
    </row>
    <row r="113" spans="2:3" x14ac:dyDescent="0.25">
      <c r="B113" s="2">
        <v>39904</v>
      </c>
      <c r="C113">
        <v>6350933</v>
      </c>
    </row>
    <row r="114" spans="2:3" x14ac:dyDescent="0.25">
      <c r="B114" s="2">
        <v>39934</v>
      </c>
      <c r="C114">
        <v>11049422</v>
      </c>
    </row>
    <row r="115" spans="2:3" x14ac:dyDescent="0.25">
      <c r="B115" s="2">
        <v>39965</v>
      </c>
      <c r="C115">
        <v>5935683</v>
      </c>
    </row>
    <row r="116" spans="2:3" x14ac:dyDescent="0.25">
      <c r="B116" s="2">
        <v>39995</v>
      </c>
      <c r="C116">
        <v>5041877</v>
      </c>
    </row>
    <row r="117" spans="2:3" x14ac:dyDescent="0.25">
      <c r="B117" s="2">
        <v>40026</v>
      </c>
      <c r="C117">
        <v>1669380</v>
      </c>
    </row>
    <row r="118" spans="2:3" x14ac:dyDescent="0.25">
      <c r="B118" s="2">
        <v>40057</v>
      </c>
      <c r="C118">
        <v>453597</v>
      </c>
    </row>
    <row r="119" spans="2:3" x14ac:dyDescent="0.25">
      <c r="B119" s="2">
        <v>40087</v>
      </c>
      <c r="C119">
        <v>1445908</v>
      </c>
    </row>
    <row r="120" spans="2:3" x14ac:dyDescent="0.25">
      <c r="B120" s="2">
        <v>40118</v>
      </c>
      <c r="C120">
        <v>551455</v>
      </c>
    </row>
    <row r="121" spans="2:3" x14ac:dyDescent="0.25">
      <c r="B121" s="2">
        <v>40148</v>
      </c>
      <c r="C121">
        <v>1514169</v>
      </c>
    </row>
    <row r="122" spans="2:3" x14ac:dyDescent="0.25">
      <c r="B122" s="2">
        <v>40179</v>
      </c>
      <c r="C122">
        <v>3316210</v>
      </c>
    </row>
    <row r="123" spans="2:3" x14ac:dyDescent="0.25">
      <c r="B123" s="2">
        <v>40210</v>
      </c>
      <c r="C123">
        <v>6376900</v>
      </c>
    </row>
    <row r="124" spans="2:3" x14ac:dyDescent="0.25">
      <c r="B124" s="2">
        <v>40238</v>
      </c>
      <c r="C124">
        <v>2700390</v>
      </c>
    </row>
    <row r="125" spans="2:3" x14ac:dyDescent="0.25">
      <c r="B125" s="2">
        <v>40269</v>
      </c>
      <c r="C125">
        <v>277787</v>
      </c>
    </row>
    <row r="126" spans="2:3" x14ac:dyDescent="0.25">
      <c r="B126" s="2">
        <v>40299</v>
      </c>
      <c r="C126">
        <v>4051967</v>
      </c>
    </row>
    <row r="127" spans="2:3" x14ac:dyDescent="0.25">
      <c r="B127" s="2">
        <v>40330</v>
      </c>
      <c r="C127">
        <v>6457441</v>
      </c>
    </row>
    <row r="128" spans="2:3" x14ac:dyDescent="0.25">
      <c r="B128" s="2">
        <v>40360</v>
      </c>
      <c r="C128">
        <v>4421160</v>
      </c>
    </row>
    <row r="129" spans="2:3" x14ac:dyDescent="0.25">
      <c r="B129" s="2">
        <v>40391</v>
      </c>
      <c r="C129">
        <v>4896836</v>
      </c>
    </row>
    <row r="130" spans="2:3" x14ac:dyDescent="0.25">
      <c r="B130" s="2">
        <v>40422</v>
      </c>
      <c r="C130">
        <v>6891583</v>
      </c>
    </row>
    <row r="131" spans="2:3" x14ac:dyDescent="0.25">
      <c r="B131" s="2">
        <v>40452</v>
      </c>
      <c r="C131">
        <v>641039</v>
      </c>
    </row>
    <row r="132" spans="2:3" x14ac:dyDescent="0.25">
      <c r="B132" s="2">
        <v>40483</v>
      </c>
      <c r="C132">
        <v>19700</v>
      </c>
    </row>
    <row r="133" spans="2:3" x14ac:dyDescent="0.25">
      <c r="B133" s="2">
        <v>40513</v>
      </c>
      <c r="C133">
        <v>4445865</v>
      </c>
    </row>
    <row r="134" spans="2:3" x14ac:dyDescent="0.25">
      <c r="B134" s="2">
        <v>40544</v>
      </c>
      <c r="C134">
        <v>6581480</v>
      </c>
    </row>
    <row r="135" spans="2:3" x14ac:dyDescent="0.25">
      <c r="B135" s="2">
        <v>40575</v>
      </c>
      <c r="C135">
        <v>7408146</v>
      </c>
    </row>
    <row r="136" spans="2:3" x14ac:dyDescent="0.25">
      <c r="B136" s="2">
        <v>40603</v>
      </c>
      <c r="C136">
        <v>4942909</v>
      </c>
    </row>
    <row r="137" spans="2:3" x14ac:dyDescent="0.25">
      <c r="B137" s="2">
        <v>40634</v>
      </c>
      <c r="C137">
        <v>8091318</v>
      </c>
    </row>
    <row r="138" spans="2:3" x14ac:dyDescent="0.25">
      <c r="B138" s="2">
        <v>40664</v>
      </c>
      <c r="C138">
        <v>16718821</v>
      </c>
    </row>
    <row r="139" spans="2:3" x14ac:dyDescent="0.25">
      <c r="B139" s="2">
        <v>40695</v>
      </c>
      <c r="C139">
        <v>11575764</v>
      </c>
    </row>
    <row r="140" spans="2:3" x14ac:dyDescent="0.25">
      <c r="B140" s="2">
        <v>40725</v>
      </c>
      <c r="C140">
        <v>7597394</v>
      </c>
    </row>
    <row r="141" spans="2:3" x14ac:dyDescent="0.25">
      <c r="B141" s="2">
        <v>40756</v>
      </c>
      <c r="C141">
        <v>998907</v>
      </c>
    </row>
    <row r="142" spans="2:3" x14ac:dyDescent="0.25">
      <c r="B142" s="2">
        <v>40787</v>
      </c>
      <c r="C142">
        <v>232569</v>
      </c>
    </row>
    <row r="143" spans="2:3" x14ac:dyDescent="0.25">
      <c r="B143" s="2">
        <v>40817</v>
      </c>
      <c r="C143">
        <v>458897</v>
      </c>
    </row>
    <row r="144" spans="2:3" x14ac:dyDescent="0.25">
      <c r="B144" s="2">
        <v>40848</v>
      </c>
      <c r="C144">
        <v>5007070</v>
      </c>
    </row>
    <row r="145" spans="2:3" x14ac:dyDescent="0.25">
      <c r="B145" s="2">
        <v>40878</v>
      </c>
      <c r="C145">
        <v>6093828</v>
      </c>
    </row>
    <row r="146" spans="2:3" x14ac:dyDescent="0.25">
      <c r="B146" s="2">
        <v>40909</v>
      </c>
      <c r="C146">
        <v>3194663</v>
      </c>
    </row>
    <row r="147" spans="2:3" x14ac:dyDescent="0.25">
      <c r="B147" s="2">
        <v>40940</v>
      </c>
      <c r="C147">
        <v>3182927</v>
      </c>
    </row>
    <row r="148" spans="2:3" x14ac:dyDescent="0.25">
      <c r="B148" s="2">
        <v>40969</v>
      </c>
      <c r="C148">
        <v>320007</v>
      </c>
    </row>
    <row r="149" spans="2:3" x14ac:dyDescent="0.25">
      <c r="B149" s="2">
        <v>41000</v>
      </c>
      <c r="C149">
        <v>3833273</v>
      </c>
    </row>
    <row r="150" spans="2:3" x14ac:dyDescent="0.25">
      <c r="B150" s="2">
        <v>41030</v>
      </c>
      <c r="C150">
        <v>91530</v>
      </c>
    </row>
    <row r="151" spans="2:3" x14ac:dyDescent="0.25">
      <c r="B151" s="2">
        <v>41061</v>
      </c>
      <c r="C151">
        <v>1283500</v>
      </c>
    </row>
    <row r="152" spans="2:3" x14ac:dyDescent="0.25">
      <c r="B152" s="2">
        <v>41091</v>
      </c>
      <c r="C152">
        <v>2154627</v>
      </c>
    </row>
    <row r="153" spans="2:3" x14ac:dyDescent="0.25">
      <c r="B153" s="2">
        <v>41122</v>
      </c>
      <c r="C153">
        <v>234266</v>
      </c>
    </row>
    <row r="154" spans="2:3" x14ac:dyDescent="0.25">
      <c r="B154" s="2">
        <v>41153</v>
      </c>
      <c r="C154">
        <v>1193193</v>
      </c>
    </row>
    <row r="155" spans="2:3" x14ac:dyDescent="0.25">
      <c r="B155" s="2">
        <v>41183</v>
      </c>
      <c r="C155">
        <v>12996328</v>
      </c>
    </row>
    <row r="156" spans="2:3" x14ac:dyDescent="0.25">
      <c r="B156" s="2">
        <v>41214</v>
      </c>
      <c r="C156">
        <v>12503571</v>
      </c>
    </row>
    <row r="157" spans="2:3" x14ac:dyDescent="0.25">
      <c r="B157" s="2">
        <v>41244</v>
      </c>
      <c r="C157">
        <v>15838073</v>
      </c>
    </row>
    <row r="158" spans="2:3" x14ac:dyDescent="0.25">
      <c r="B158" s="2">
        <v>41275</v>
      </c>
      <c r="C158">
        <v>48827</v>
      </c>
    </row>
    <row r="159" spans="2:3" x14ac:dyDescent="0.25">
      <c r="B159" s="2">
        <v>41306</v>
      </c>
      <c r="C159">
        <v>0</v>
      </c>
    </row>
    <row r="160" spans="2:3" x14ac:dyDescent="0.25">
      <c r="B160" s="2">
        <v>41334</v>
      </c>
      <c r="C160">
        <v>0</v>
      </c>
    </row>
    <row r="161" spans="2:3" x14ac:dyDescent="0.25">
      <c r="B161" s="2">
        <v>41365</v>
      </c>
      <c r="C161">
        <v>5311528</v>
      </c>
    </row>
    <row r="162" spans="2:3" x14ac:dyDescent="0.25">
      <c r="B162" s="2">
        <v>41395</v>
      </c>
      <c r="C162">
        <v>5045682</v>
      </c>
    </row>
    <row r="163" spans="2:3" x14ac:dyDescent="0.25">
      <c r="B163" s="2">
        <v>41426</v>
      </c>
      <c r="C163">
        <v>4927138</v>
      </c>
    </row>
    <row r="164" spans="2:3" x14ac:dyDescent="0.25">
      <c r="B164" s="2">
        <v>41456</v>
      </c>
      <c r="C164">
        <v>14604</v>
      </c>
    </row>
    <row r="165" spans="2:3" x14ac:dyDescent="0.25">
      <c r="B165" s="2">
        <v>41487</v>
      </c>
      <c r="C165">
        <v>1287308</v>
      </c>
    </row>
    <row r="166" spans="2:3" x14ac:dyDescent="0.25">
      <c r="B166" s="2">
        <v>41518</v>
      </c>
      <c r="C166">
        <v>24548</v>
      </c>
    </row>
    <row r="167" spans="2:3" x14ac:dyDescent="0.25">
      <c r="B167" s="2">
        <v>41548</v>
      </c>
      <c r="C167">
        <v>764611</v>
      </c>
    </row>
    <row r="168" spans="2:3" x14ac:dyDescent="0.25">
      <c r="B168" s="2">
        <v>41579</v>
      </c>
      <c r="C168">
        <v>639682</v>
      </c>
    </row>
    <row r="169" spans="2:3" x14ac:dyDescent="0.25">
      <c r="B169" s="2">
        <v>41609</v>
      </c>
      <c r="C169">
        <v>1362196</v>
      </c>
    </row>
    <row r="170" spans="2:3" x14ac:dyDescent="0.25">
      <c r="B170" s="2">
        <v>41640</v>
      </c>
      <c r="C170">
        <v>144403</v>
      </c>
    </row>
    <row r="171" spans="2:3" x14ac:dyDescent="0.25">
      <c r="B171" s="2">
        <v>41671</v>
      </c>
      <c r="C171">
        <v>684396</v>
      </c>
    </row>
    <row r="172" spans="2:3" x14ac:dyDescent="0.25">
      <c r="B172" s="2">
        <v>41699</v>
      </c>
      <c r="C172">
        <v>554239</v>
      </c>
    </row>
    <row r="173" spans="2:3" x14ac:dyDescent="0.25">
      <c r="B173" s="2">
        <v>41730</v>
      </c>
      <c r="C173">
        <v>4940450</v>
      </c>
    </row>
    <row r="174" spans="2:3" x14ac:dyDescent="0.25">
      <c r="B174" s="2">
        <v>41760</v>
      </c>
      <c r="C174">
        <v>4777666</v>
      </c>
    </row>
    <row r="175" spans="2:3" x14ac:dyDescent="0.25">
      <c r="B175" s="2">
        <v>41791</v>
      </c>
      <c r="C175">
        <v>7012154</v>
      </c>
    </row>
    <row r="176" spans="2:3" x14ac:dyDescent="0.25">
      <c r="B176" s="2">
        <v>41821</v>
      </c>
      <c r="C176">
        <v>342837</v>
      </c>
    </row>
    <row r="177" spans="2:3" x14ac:dyDescent="0.25">
      <c r="B177" s="2">
        <v>41852</v>
      </c>
      <c r="C177">
        <v>8489775</v>
      </c>
    </row>
    <row r="178" spans="2:3" x14ac:dyDescent="0.25">
      <c r="B178" s="2">
        <v>41883</v>
      </c>
      <c r="C178">
        <v>0</v>
      </c>
    </row>
    <row r="179" spans="2:3" x14ac:dyDescent="0.25">
      <c r="B179" s="2">
        <v>41913</v>
      </c>
      <c r="C179">
        <v>1805576</v>
      </c>
    </row>
    <row r="180" spans="2:3" x14ac:dyDescent="0.25">
      <c r="B180" s="2">
        <v>41944</v>
      </c>
      <c r="C180">
        <v>1188109</v>
      </c>
    </row>
    <row r="181" spans="2:3" x14ac:dyDescent="0.25">
      <c r="B181" s="2">
        <v>41974</v>
      </c>
      <c r="C181">
        <v>17993306</v>
      </c>
    </row>
    <row r="182" spans="2:3" x14ac:dyDescent="0.25">
      <c r="B182" s="2">
        <v>42005</v>
      </c>
      <c r="C182">
        <v>418578</v>
      </c>
    </row>
    <row r="183" spans="2:3" x14ac:dyDescent="0.25">
      <c r="B183" s="2">
        <v>42036</v>
      </c>
      <c r="C183">
        <v>208</v>
      </c>
    </row>
    <row r="184" spans="2:3" x14ac:dyDescent="0.25">
      <c r="B184" s="2">
        <v>42064</v>
      </c>
      <c r="C184">
        <v>72591</v>
      </c>
    </row>
    <row r="185" spans="2:3" x14ac:dyDescent="0.25">
      <c r="B185" s="2">
        <v>42095</v>
      </c>
      <c r="C185">
        <v>2629964</v>
      </c>
    </row>
    <row r="186" spans="2:3" x14ac:dyDescent="0.25">
      <c r="B186" s="2">
        <v>42125</v>
      </c>
      <c r="C186">
        <v>5998161</v>
      </c>
    </row>
    <row r="187" spans="2:3" x14ac:dyDescent="0.25">
      <c r="B187" s="2">
        <v>42156</v>
      </c>
      <c r="C187">
        <v>4900578</v>
      </c>
    </row>
    <row r="188" spans="2:3" x14ac:dyDescent="0.25">
      <c r="B188" s="2">
        <v>42186</v>
      </c>
      <c r="C188">
        <v>714152</v>
      </c>
    </row>
    <row r="189" spans="2:3" x14ac:dyDescent="0.25">
      <c r="B189" s="2">
        <v>42217</v>
      </c>
      <c r="C189">
        <v>4315525</v>
      </c>
    </row>
    <row r="190" spans="2:3" x14ac:dyDescent="0.25">
      <c r="B190" s="2">
        <v>42248</v>
      </c>
      <c r="C190">
        <v>2251955</v>
      </c>
    </row>
    <row r="191" spans="2:3" x14ac:dyDescent="0.25">
      <c r="B191" s="2">
        <v>42278</v>
      </c>
      <c r="C191">
        <v>894766</v>
      </c>
    </row>
    <row r="192" spans="2:3" x14ac:dyDescent="0.25">
      <c r="B192" s="2">
        <v>42309</v>
      </c>
      <c r="C192">
        <v>3516572</v>
      </c>
    </row>
    <row r="193" spans="2:3" x14ac:dyDescent="0.25">
      <c r="B193" s="2">
        <v>42339</v>
      </c>
      <c r="C193">
        <v>4148736</v>
      </c>
    </row>
    <row r="194" spans="2:3" x14ac:dyDescent="0.25">
      <c r="B194" s="2">
        <v>42370</v>
      </c>
      <c r="C194">
        <v>1733762</v>
      </c>
    </row>
    <row r="195" spans="2:3" x14ac:dyDescent="0.25">
      <c r="B195" s="2">
        <v>42401</v>
      </c>
      <c r="C195">
        <v>4772471</v>
      </c>
    </row>
    <row r="196" spans="2:3" x14ac:dyDescent="0.25">
      <c r="B196" s="2">
        <v>42430</v>
      </c>
      <c r="C196">
        <v>624470</v>
      </c>
    </row>
    <row r="197" spans="2:3" x14ac:dyDescent="0.25">
      <c r="B197" s="2">
        <v>42461</v>
      </c>
      <c r="C197">
        <v>8990717</v>
      </c>
    </row>
    <row r="198" spans="2:3" x14ac:dyDescent="0.25">
      <c r="B198" s="2">
        <v>42491</v>
      </c>
      <c r="C198">
        <v>1883099</v>
      </c>
    </row>
    <row r="199" spans="2:3" x14ac:dyDescent="0.25">
      <c r="B199" s="2">
        <v>42522</v>
      </c>
      <c r="C199">
        <v>15948714</v>
      </c>
    </row>
    <row r="200" spans="2:3" x14ac:dyDescent="0.25">
      <c r="B200" s="2">
        <v>42552</v>
      </c>
      <c r="C200">
        <v>9188216</v>
      </c>
    </row>
    <row r="201" spans="2:3" x14ac:dyDescent="0.25">
      <c r="B201" s="2">
        <v>42583</v>
      </c>
      <c r="C201">
        <v>663874</v>
      </c>
    </row>
    <row r="202" spans="2:3" x14ac:dyDescent="0.25">
      <c r="B202" s="2">
        <v>42614</v>
      </c>
      <c r="C202">
        <v>1163677</v>
      </c>
    </row>
    <row r="203" spans="2:3" x14ac:dyDescent="0.25">
      <c r="B203" s="2">
        <v>42644</v>
      </c>
      <c r="C203">
        <v>955826</v>
      </c>
    </row>
    <row r="204" spans="2:3" x14ac:dyDescent="0.25">
      <c r="B204" s="2">
        <v>42675</v>
      </c>
      <c r="C204">
        <v>315208</v>
      </c>
    </row>
    <row r="205" spans="2:3" x14ac:dyDescent="0.25">
      <c r="B205" s="2">
        <v>42705</v>
      </c>
      <c r="C205">
        <v>22433983</v>
      </c>
    </row>
    <row r="206" spans="2:3" x14ac:dyDescent="0.25">
      <c r="B206" s="2">
        <v>42736</v>
      </c>
      <c r="C206">
        <v>5893994</v>
      </c>
    </row>
    <row r="207" spans="2:3" x14ac:dyDescent="0.25">
      <c r="B207" s="2">
        <v>42767</v>
      </c>
      <c r="C207">
        <v>3371738</v>
      </c>
    </row>
    <row r="208" spans="2:3" x14ac:dyDescent="0.25">
      <c r="B208" s="2">
        <v>42795</v>
      </c>
      <c r="C208">
        <v>2958318</v>
      </c>
    </row>
    <row r="209" spans="2:3" x14ac:dyDescent="0.25">
      <c r="B209" s="2">
        <v>42826</v>
      </c>
      <c r="C209">
        <v>8619259</v>
      </c>
    </row>
    <row r="210" spans="2:3" x14ac:dyDescent="0.25">
      <c r="B210" s="2">
        <v>42856</v>
      </c>
      <c r="C210">
        <v>564397</v>
      </c>
    </row>
    <row r="211" spans="2:3" x14ac:dyDescent="0.25">
      <c r="B211" s="2">
        <v>42887</v>
      </c>
      <c r="C211">
        <v>10529953</v>
      </c>
    </row>
    <row r="212" spans="2:3" x14ac:dyDescent="0.25">
      <c r="B212" s="2">
        <v>42917</v>
      </c>
      <c r="C212">
        <v>8170090</v>
      </c>
    </row>
    <row r="213" spans="2:3" x14ac:dyDescent="0.25">
      <c r="B213" s="2">
        <v>42948</v>
      </c>
      <c r="C213">
        <v>473076</v>
      </c>
    </row>
    <row r="214" spans="2:3" x14ac:dyDescent="0.25">
      <c r="B214" s="2">
        <v>42979</v>
      </c>
      <c r="C214">
        <v>632403</v>
      </c>
    </row>
    <row r="215" spans="2:3" x14ac:dyDescent="0.25">
      <c r="B215" s="2">
        <v>43009</v>
      </c>
      <c r="C215">
        <v>373665</v>
      </c>
    </row>
    <row r="216" spans="2:3" x14ac:dyDescent="0.25">
      <c r="B216" s="2">
        <v>43040</v>
      </c>
      <c r="C216">
        <v>2438440</v>
      </c>
    </row>
    <row r="217" spans="2:3" x14ac:dyDescent="0.25">
      <c r="B217" s="2">
        <v>43070</v>
      </c>
      <c r="C217">
        <v>11671488</v>
      </c>
    </row>
    <row r="218" spans="2:3" x14ac:dyDescent="0.25">
      <c r="B218" s="2">
        <v>43101</v>
      </c>
      <c r="C218">
        <v>3186624</v>
      </c>
    </row>
    <row r="219" spans="2:3" x14ac:dyDescent="0.25">
      <c r="B219" s="2">
        <v>43132</v>
      </c>
      <c r="C219">
        <v>500519</v>
      </c>
    </row>
    <row r="220" spans="2:3" x14ac:dyDescent="0.25">
      <c r="B220" s="2">
        <v>43160</v>
      </c>
      <c r="C220">
        <v>746365</v>
      </c>
    </row>
    <row r="221" spans="2:3" x14ac:dyDescent="0.25">
      <c r="B221" s="2">
        <v>43191</v>
      </c>
      <c r="C221">
        <v>21827955</v>
      </c>
    </row>
    <row r="222" spans="2:3" x14ac:dyDescent="0.25">
      <c r="B222" s="2">
        <v>43221</v>
      </c>
      <c r="C222">
        <v>10312860</v>
      </c>
    </row>
    <row r="223" spans="2:3" x14ac:dyDescent="0.25">
      <c r="B223" s="2">
        <v>43252</v>
      </c>
      <c r="C223">
        <v>7452629</v>
      </c>
    </row>
    <row r="224" spans="2:3" x14ac:dyDescent="0.25">
      <c r="B224" s="2">
        <v>43282</v>
      </c>
      <c r="C224">
        <v>3500983</v>
      </c>
    </row>
    <row r="225" spans="2:3" x14ac:dyDescent="0.25">
      <c r="B225" s="2">
        <v>43313</v>
      </c>
      <c r="C225">
        <v>2406216</v>
      </c>
    </row>
    <row r="226" spans="2:3" x14ac:dyDescent="0.25">
      <c r="B226" s="2">
        <v>43344</v>
      </c>
      <c r="C226">
        <v>5886206</v>
      </c>
    </row>
    <row r="227" spans="2:3" x14ac:dyDescent="0.25">
      <c r="B227" s="2">
        <v>43374</v>
      </c>
      <c r="C227">
        <v>5001506</v>
      </c>
    </row>
    <row r="228" spans="2:3" x14ac:dyDescent="0.25">
      <c r="B228" s="2">
        <v>43405</v>
      </c>
      <c r="C228">
        <v>11947720</v>
      </c>
    </row>
    <row r="229" spans="2:3" x14ac:dyDescent="0.25">
      <c r="B229" s="2">
        <v>43435</v>
      </c>
      <c r="C229">
        <v>28017522</v>
      </c>
    </row>
    <row r="230" spans="2:3" x14ac:dyDescent="0.25">
      <c r="B230" s="2">
        <v>43466</v>
      </c>
      <c r="C230">
        <v>2600036</v>
      </c>
    </row>
    <row r="231" spans="2:3" x14ac:dyDescent="0.25">
      <c r="B231" s="2">
        <v>43497</v>
      </c>
      <c r="C231">
        <v>1292975</v>
      </c>
    </row>
    <row r="232" spans="2:3" x14ac:dyDescent="0.25">
      <c r="B232" s="2">
        <v>43525</v>
      </c>
      <c r="C232">
        <v>15257508</v>
      </c>
    </row>
    <row r="233" spans="2:3" x14ac:dyDescent="0.25">
      <c r="B233" s="2">
        <v>43556</v>
      </c>
      <c r="C233">
        <v>690300</v>
      </c>
    </row>
    <row r="234" spans="2:3" x14ac:dyDescent="0.25">
      <c r="B234" s="2">
        <v>43586</v>
      </c>
      <c r="C234">
        <v>6435388</v>
      </c>
    </row>
    <row r="235" spans="2:3" x14ac:dyDescent="0.25">
      <c r="B235" s="2">
        <v>43617</v>
      </c>
      <c r="C235">
        <v>5606362</v>
      </c>
    </row>
    <row r="236" spans="2:3" x14ac:dyDescent="0.25">
      <c r="B236" s="2">
        <v>43647</v>
      </c>
      <c r="C236">
        <v>1529705</v>
      </c>
    </row>
    <row r="237" spans="2:3" x14ac:dyDescent="0.25">
      <c r="B237" s="2">
        <v>43678</v>
      </c>
      <c r="C237">
        <v>1211867</v>
      </c>
    </row>
    <row r="238" spans="2:3" x14ac:dyDescent="0.25">
      <c r="B238" s="2">
        <v>43709</v>
      </c>
      <c r="C238">
        <v>2777192</v>
      </c>
    </row>
    <row r="239" spans="2:3" x14ac:dyDescent="0.25">
      <c r="B239" s="2">
        <v>43739</v>
      </c>
      <c r="C239">
        <v>519642</v>
      </c>
    </row>
    <row r="240" spans="2:3" x14ac:dyDescent="0.25">
      <c r="B240" s="2">
        <v>43770</v>
      </c>
      <c r="C240">
        <v>3442509</v>
      </c>
    </row>
    <row r="241" spans="2:3" x14ac:dyDescent="0.25">
      <c r="B241" s="2">
        <v>43800</v>
      </c>
      <c r="C241">
        <v>15229561</v>
      </c>
    </row>
    <row r="242" spans="2:3" x14ac:dyDescent="0.25">
      <c r="B242" s="2">
        <v>43831</v>
      </c>
      <c r="C242">
        <v>5162882</v>
      </c>
    </row>
    <row r="243" spans="2:3" x14ac:dyDescent="0.25">
      <c r="B243" s="2">
        <v>43862</v>
      </c>
      <c r="C243">
        <v>4707805</v>
      </c>
    </row>
    <row r="244" spans="2:3" x14ac:dyDescent="0.25">
      <c r="B244" s="2">
        <v>43891</v>
      </c>
      <c r="C244">
        <v>8683372</v>
      </c>
    </row>
    <row r="245" spans="2:3" x14ac:dyDescent="0.25">
      <c r="B245" s="2">
        <v>43922</v>
      </c>
      <c r="C245">
        <v>8814647</v>
      </c>
    </row>
    <row r="246" spans="2:3" x14ac:dyDescent="0.25">
      <c r="B246" s="2">
        <v>43952</v>
      </c>
      <c r="C246">
        <v>6686170</v>
      </c>
    </row>
    <row r="247" spans="2:3" x14ac:dyDescent="0.25">
      <c r="B247" s="2">
        <v>43983</v>
      </c>
      <c r="C247">
        <v>4033597</v>
      </c>
    </row>
    <row r="248" spans="2:3" x14ac:dyDescent="0.25">
      <c r="B248" s="2">
        <v>44013</v>
      </c>
      <c r="C248">
        <v>1364330</v>
      </c>
    </row>
    <row r="249" spans="2:3" x14ac:dyDescent="0.25">
      <c r="B249" s="2">
        <v>44044</v>
      </c>
      <c r="C249">
        <v>1497231</v>
      </c>
    </row>
    <row r="250" spans="2:3" x14ac:dyDescent="0.25">
      <c r="B250" s="2">
        <v>44075</v>
      </c>
      <c r="C250">
        <v>5534295</v>
      </c>
    </row>
    <row r="251" spans="2:3" x14ac:dyDescent="0.25">
      <c r="B251" s="2">
        <v>44105</v>
      </c>
      <c r="C251">
        <v>3794730</v>
      </c>
    </row>
    <row r="252" spans="2:3" x14ac:dyDescent="0.25">
      <c r="B252" s="2">
        <v>44136</v>
      </c>
      <c r="C252">
        <v>4661863</v>
      </c>
    </row>
    <row r="253" spans="2:3" x14ac:dyDescent="0.25">
      <c r="B253" s="2">
        <v>44166</v>
      </c>
      <c r="C253">
        <v>20152259</v>
      </c>
    </row>
    <row r="254" spans="2:3" x14ac:dyDescent="0.25">
      <c r="B254" s="2">
        <v>44197</v>
      </c>
      <c r="C254">
        <v>6794126</v>
      </c>
    </row>
    <row r="255" spans="2:3" x14ac:dyDescent="0.25">
      <c r="B255" s="2">
        <v>44228</v>
      </c>
      <c r="C255">
        <v>1949146</v>
      </c>
    </row>
    <row r="256" spans="2:3" x14ac:dyDescent="0.25">
      <c r="B256" s="2">
        <v>44256</v>
      </c>
      <c r="C256">
        <v>5507837</v>
      </c>
    </row>
    <row r="257" spans="2:13" x14ac:dyDescent="0.25">
      <c r="B257" s="2">
        <v>44287</v>
      </c>
      <c r="C257">
        <v>5676948</v>
      </c>
    </row>
    <row r="258" spans="2:13" x14ac:dyDescent="0.25">
      <c r="B258" s="2">
        <v>44317</v>
      </c>
      <c r="C258">
        <v>3476194</v>
      </c>
    </row>
    <row r="259" spans="2:13" ht="17.25" x14ac:dyDescent="0.3">
      <c r="B259" s="2">
        <v>44348</v>
      </c>
      <c r="C259">
        <v>4539731</v>
      </c>
      <c r="E259" s="8" t="s">
        <v>16</v>
      </c>
      <c r="F259" s="8" t="s">
        <v>19</v>
      </c>
    </row>
    <row r="260" spans="2:13" x14ac:dyDescent="0.25">
      <c r="B260" s="2">
        <v>44378</v>
      </c>
      <c r="C260">
        <v>5499739</v>
      </c>
      <c r="D260" s="4">
        <v>2738844.4231992499</v>
      </c>
      <c r="E260" s="4">
        <f t="shared" ref="E260:E277" si="0">ABS((C260-D260)/C260)</f>
        <v>0.50200465454828858</v>
      </c>
      <c r="F260" s="5">
        <f>ABS(C260-D260)</f>
        <v>2760894.5768007501</v>
      </c>
      <c r="H260" s="6"/>
    </row>
    <row r="261" spans="2:13" x14ac:dyDescent="0.25">
      <c r="B261" s="2">
        <v>44409</v>
      </c>
      <c r="C261">
        <v>2580244</v>
      </c>
      <c r="D261" s="4">
        <v>2866747.41512415</v>
      </c>
      <c r="E261" s="4">
        <f t="shared" si="0"/>
        <v>0.11103733411419617</v>
      </c>
      <c r="F261" s="5">
        <f t="shared" ref="F261:F277" si="1">ABS(C261-D261)</f>
        <v>286503.41512414999</v>
      </c>
    </row>
    <row r="262" spans="2:13" x14ac:dyDescent="0.25">
      <c r="B262" s="2">
        <v>44440</v>
      </c>
      <c r="C262">
        <v>1996721</v>
      </c>
      <c r="D262" s="4">
        <v>3534864.1902218899</v>
      </c>
      <c r="E262" s="4">
        <f t="shared" si="0"/>
        <v>0.77033455861980216</v>
      </c>
      <c r="F262" s="5">
        <f t="shared" si="1"/>
        <v>1538143.1902218899</v>
      </c>
    </row>
    <row r="263" spans="2:13" x14ac:dyDescent="0.25">
      <c r="B263" s="2">
        <v>44470</v>
      </c>
      <c r="C263">
        <v>14743853</v>
      </c>
      <c r="D263" s="4">
        <v>2355700.16980633</v>
      </c>
      <c r="E263" s="4">
        <f t="shared" si="0"/>
        <v>0.84022492832732876</v>
      </c>
      <c r="F263" s="5">
        <f>ABS(C263-D263)</f>
        <v>12388152.83019367</v>
      </c>
    </row>
    <row r="264" spans="2:13" x14ac:dyDescent="0.25">
      <c r="B264" s="2">
        <v>44501</v>
      </c>
      <c r="C264">
        <v>3574557</v>
      </c>
      <c r="D264" s="4">
        <v>8971945.5529407095</v>
      </c>
      <c r="E264" s="4">
        <f t="shared" si="0"/>
        <v>1.5099461424005016</v>
      </c>
      <c r="F264" s="5">
        <f t="shared" si="1"/>
        <v>5397388.5529407095</v>
      </c>
    </row>
    <row r="265" spans="2:13" x14ac:dyDescent="0.25">
      <c r="B265" s="2">
        <v>44531</v>
      </c>
      <c r="C265">
        <v>14987686</v>
      </c>
      <c r="D265" s="4">
        <v>16715933.9663167</v>
      </c>
      <c r="E265" s="4">
        <f t="shared" si="0"/>
        <v>0.11531119389055121</v>
      </c>
      <c r="F265" s="5">
        <f t="shared" si="1"/>
        <v>1728247.9663167</v>
      </c>
    </row>
    <row r="266" spans="2:13" x14ac:dyDescent="0.25">
      <c r="B266" s="2">
        <v>44562</v>
      </c>
      <c r="C266">
        <v>4042415</v>
      </c>
      <c r="D266" s="4">
        <v>4576885.5248764101</v>
      </c>
      <c r="E266" s="4">
        <f t="shared" si="0"/>
        <v>0.13221564952544707</v>
      </c>
      <c r="F266" s="5">
        <f t="shared" si="1"/>
        <v>534470.52487641014</v>
      </c>
      <c r="H266" s="2"/>
      <c r="I266" s="2"/>
      <c r="M266" s="3"/>
    </row>
    <row r="267" spans="2:13" x14ac:dyDescent="0.25">
      <c r="B267" s="2">
        <v>44593</v>
      </c>
      <c r="C267">
        <v>1030123</v>
      </c>
      <c r="D267" s="4">
        <v>3052810.2485359302</v>
      </c>
      <c r="E267" s="4">
        <f t="shared" si="0"/>
        <v>1.963539546768619</v>
      </c>
      <c r="F267" s="5">
        <f t="shared" si="1"/>
        <v>2022687.2485359302</v>
      </c>
      <c r="H267" s="2"/>
      <c r="I267" s="2"/>
    </row>
    <row r="268" spans="2:13" x14ac:dyDescent="0.25">
      <c r="B268" s="2">
        <v>44621</v>
      </c>
      <c r="C268">
        <v>4708485</v>
      </c>
      <c r="D268" s="4">
        <v>6318772.3186775604</v>
      </c>
      <c r="E268" s="4">
        <f t="shared" si="0"/>
        <v>0.34199690955319184</v>
      </c>
      <c r="F268" s="5">
        <f t="shared" si="1"/>
        <v>1610287.3186775604</v>
      </c>
      <c r="H268" s="2"/>
      <c r="I268" s="2"/>
    </row>
    <row r="269" spans="2:13" x14ac:dyDescent="0.25">
      <c r="B269" s="2">
        <v>44652</v>
      </c>
      <c r="C269">
        <v>6024615</v>
      </c>
      <c r="D269" s="4">
        <v>8217459.61725525</v>
      </c>
      <c r="E269" s="4">
        <f t="shared" si="0"/>
        <v>0.36398087135115686</v>
      </c>
      <c r="F269" s="5">
        <f t="shared" si="1"/>
        <v>2192844.61725525</v>
      </c>
      <c r="H269" s="2"/>
      <c r="I269" s="2"/>
    </row>
    <row r="270" spans="2:13" x14ac:dyDescent="0.25">
      <c r="B270" s="2">
        <v>44682</v>
      </c>
      <c r="C270">
        <v>10373780</v>
      </c>
      <c r="D270" s="4">
        <v>6392248.3301945701</v>
      </c>
      <c r="E270" s="4">
        <f t="shared" si="0"/>
        <v>0.38380722068575096</v>
      </c>
      <c r="F270" s="5">
        <f t="shared" si="1"/>
        <v>3981531.6698054299</v>
      </c>
      <c r="H270" s="2"/>
      <c r="I270" s="2"/>
    </row>
    <row r="271" spans="2:13" x14ac:dyDescent="0.25">
      <c r="B271" s="2">
        <v>44713</v>
      </c>
      <c r="C271">
        <v>8713963</v>
      </c>
      <c r="D271" s="4">
        <v>7299305.8784663901</v>
      </c>
      <c r="E271" s="4">
        <f t="shared" si="0"/>
        <v>0.16234371451125165</v>
      </c>
      <c r="F271" s="5">
        <f t="shared" si="1"/>
        <v>1414657.1215336099</v>
      </c>
      <c r="H271" s="2"/>
      <c r="I271" s="2"/>
    </row>
    <row r="272" spans="2:13" x14ac:dyDescent="0.25">
      <c r="B272" s="2">
        <v>44743</v>
      </c>
      <c r="C272">
        <v>5938357</v>
      </c>
      <c r="D272" s="4">
        <v>4678342.2231279798</v>
      </c>
      <c r="E272" s="4">
        <f t="shared" si="0"/>
        <v>0.21218238931610547</v>
      </c>
      <c r="F272" s="5">
        <f t="shared" si="1"/>
        <v>1260014.7768720202</v>
      </c>
    </row>
    <row r="273" spans="2:13" x14ac:dyDescent="0.25">
      <c r="B273" s="2">
        <v>44774</v>
      </c>
      <c r="C273">
        <v>1763571</v>
      </c>
      <c r="D273" s="4">
        <v>2923474.3919151002</v>
      </c>
      <c r="E273" s="4">
        <f t="shared" si="0"/>
        <v>0.65770155662295426</v>
      </c>
      <c r="F273" s="5">
        <f t="shared" si="1"/>
        <v>1159903.3919151002</v>
      </c>
    </row>
    <row r="274" spans="2:13" x14ac:dyDescent="0.25">
      <c r="B274" s="2">
        <v>44805</v>
      </c>
      <c r="C274">
        <v>2681947</v>
      </c>
      <c r="D274" s="4">
        <v>3681412.1271902998</v>
      </c>
      <c r="E274" s="4">
        <f t="shared" si="0"/>
        <v>0.37266401132844901</v>
      </c>
      <c r="F274" s="5">
        <f t="shared" si="1"/>
        <v>999465.1271902998</v>
      </c>
    </row>
    <row r="275" spans="2:13" x14ac:dyDescent="0.25">
      <c r="B275" s="2">
        <v>44835</v>
      </c>
      <c r="C275">
        <v>1251071</v>
      </c>
      <c r="D275" s="4">
        <v>6194736.9002897302</v>
      </c>
      <c r="E275" s="4">
        <f t="shared" si="0"/>
        <v>3.9515470347324255</v>
      </c>
      <c r="F275" s="5">
        <f t="shared" si="1"/>
        <v>4943665.9002897302</v>
      </c>
    </row>
    <row r="276" spans="2:13" x14ac:dyDescent="0.25">
      <c r="B276" s="2">
        <v>44866</v>
      </c>
      <c r="C276">
        <v>5233782</v>
      </c>
      <c r="D276" s="4">
        <v>5055138.5548445703</v>
      </c>
      <c r="E276" s="4">
        <f t="shared" si="0"/>
        <v>3.4132763870453463E-2</v>
      </c>
      <c r="F276" s="5">
        <f t="shared" si="1"/>
        <v>178643.44515542965</v>
      </c>
    </row>
    <row r="277" spans="2:13" x14ac:dyDescent="0.25">
      <c r="B277" s="2">
        <v>44896</v>
      </c>
      <c r="C277">
        <v>8074980</v>
      </c>
      <c r="D277" s="4">
        <v>16888914.787072498</v>
      </c>
      <c r="E277" s="4">
        <f t="shared" si="0"/>
        <v>1.0915116553938831</v>
      </c>
      <c r="F277" s="5">
        <f t="shared" si="1"/>
        <v>8813934.7870724984</v>
      </c>
    </row>
    <row r="278" spans="2:13" x14ac:dyDescent="0.25">
      <c r="E278" s="9">
        <f>AVERAGE(E260:E277)</f>
        <v>0.7509156741977977</v>
      </c>
      <c r="F278" s="9">
        <f>AVERAGE(F260:F277)</f>
        <v>2956190.9144876185</v>
      </c>
      <c r="M27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C3FB-D962-45AB-B6EF-28C85CB7E860}">
  <dimension ref="A1:I278"/>
  <sheetViews>
    <sheetView workbookViewId="0">
      <pane xSplit="2" ySplit="1" topLeftCell="C248" activePane="bottomRight" state="frozen"/>
      <selection pane="topRight" activeCell="B1" sqref="B1"/>
      <selection pane="bottomLeft" activeCell="A2" sqref="A2"/>
      <selection pane="bottomRight" activeCell="F271" sqref="F271"/>
    </sheetView>
  </sheetViews>
  <sheetFormatPr defaultColWidth="14.28515625" defaultRowHeight="15" x14ac:dyDescent="0.25"/>
  <cols>
    <col min="1" max="1" width="35.85546875" bestFit="1" customWidth="1"/>
    <col min="2" max="2" width="14.42578125" bestFit="1" customWidth="1"/>
    <col min="3" max="3" width="19.5703125" bestFit="1" customWidth="1"/>
    <col min="4" max="4" width="20.7109375" bestFit="1" customWidth="1"/>
    <col min="5" max="5" width="37.42578125" bestFit="1" customWidth="1"/>
    <col min="6" max="6" width="22.28515625" bestFit="1" customWidth="1"/>
    <col min="8" max="8" width="8" bestFit="1" customWidth="1"/>
  </cols>
  <sheetData>
    <row r="1" spans="1:6" x14ac:dyDescent="0.25">
      <c r="A1" s="7" t="s">
        <v>15</v>
      </c>
      <c r="B1" t="s">
        <v>7</v>
      </c>
      <c r="C1" t="s">
        <v>8</v>
      </c>
      <c r="D1" t="s">
        <v>10</v>
      </c>
      <c r="E1" t="s">
        <v>17</v>
      </c>
      <c r="F1" t="s">
        <v>18</v>
      </c>
    </row>
    <row r="2" spans="1:6" x14ac:dyDescent="0.25">
      <c r="B2" s="2">
        <v>36526</v>
      </c>
      <c r="C2">
        <v>121670</v>
      </c>
    </row>
    <row r="3" spans="1:6" x14ac:dyDescent="0.25">
      <c r="B3" s="2">
        <v>36557</v>
      </c>
      <c r="C3">
        <v>0</v>
      </c>
    </row>
    <row r="4" spans="1:6" x14ac:dyDescent="0.25">
      <c r="B4" s="2">
        <v>36586</v>
      </c>
      <c r="C4">
        <v>0</v>
      </c>
    </row>
    <row r="5" spans="1:6" x14ac:dyDescent="0.25">
      <c r="B5" s="2">
        <v>36617</v>
      </c>
      <c r="C5">
        <v>1630925</v>
      </c>
    </row>
    <row r="6" spans="1:6" x14ac:dyDescent="0.25">
      <c r="B6" s="2">
        <v>36647</v>
      </c>
      <c r="C6">
        <v>12343071</v>
      </c>
    </row>
    <row r="7" spans="1:6" x14ac:dyDescent="0.25">
      <c r="B7" s="2">
        <v>36678</v>
      </c>
      <c r="C7">
        <v>10396080</v>
      </c>
    </row>
    <row r="8" spans="1:6" x14ac:dyDescent="0.25">
      <c r="B8" s="2">
        <v>36708</v>
      </c>
      <c r="C8">
        <v>5174232</v>
      </c>
    </row>
    <row r="9" spans="1:6" x14ac:dyDescent="0.25">
      <c r="B9" s="2">
        <v>36739</v>
      </c>
      <c r="C9">
        <v>3260662</v>
      </c>
    </row>
    <row r="10" spans="1:6" x14ac:dyDescent="0.25">
      <c r="B10" s="2">
        <v>36770</v>
      </c>
      <c r="C10">
        <v>26015</v>
      </c>
    </row>
    <row r="11" spans="1:6" x14ac:dyDescent="0.25">
      <c r="B11" s="2">
        <v>36800</v>
      </c>
      <c r="C11">
        <v>182739</v>
      </c>
    </row>
    <row r="12" spans="1:6" x14ac:dyDescent="0.25">
      <c r="B12" s="2">
        <v>36831</v>
      </c>
      <c r="C12">
        <v>0</v>
      </c>
    </row>
    <row r="13" spans="1:6" x14ac:dyDescent="0.25">
      <c r="B13" s="2">
        <v>36861</v>
      </c>
      <c r="C13">
        <v>10317340</v>
      </c>
    </row>
    <row r="14" spans="1:6" x14ac:dyDescent="0.25">
      <c r="B14" s="2">
        <v>36892</v>
      </c>
      <c r="C14">
        <v>187630</v>
      </c>
    </row>
    <row r="15" spans="1:6" x14ac:dyDescent="0.25">
      <c r="B15" s="2">
        <v>36923</v>
      </c>
      <c r="C15">
        <v>115640</v>
      </c>
    </row>
    <row r="16" spans="1:6" x14ac:dyDescent="0.25">
      <c r="B16" s="2">
        <v>36951</v>
      </c>
      <c r="C16">
        <v>2033805</v>
      </c>
    </row>
    <row r="17" spans="2:3" x14ac:dyDescent="0.25">
      <c r="B17" s="2">
        <v>36982</v>
      </c>
      <c r="C17">
        <v>2679394</v>
      </c>
    </row>
    <row r="18" spans="2:3" x14ac:dyDescent="0.25">
      <c r="B18" s="2">
        <v>37012</v>
      </c>
      <c r="C18">
        <v>10585486</v>
      </c>
    </row>
    <row r="19" spans="2:3" x14ac:dyDescent="0.25">
      <c r="B19" s="2">
        <v>37043</v>
      </c>
      <c r="C19">
        <v>6982546</v>
      </c>
    </row>
    <row r="20" spans="2:3" x14ac:dyDescent="0.25">
      <c r="B20" s="2">
        <v>37073</v>
      </c>
      <c r="C20">
        <v>9695330</v>
      </c>
    </row>
    <row r="21" spans="2:3" x14ac:dyDescent="0.25">
      <c r="B21" s="2">
        <v>37104</v>
      </c>
      <c r="C21">
        <v>14253564</v>
      </c>
    </row>
    <row r="22" spans="2:3" x14ac:dyDescent="0.25">
      <c r="B22" s="2">
        <v>37135</v>
      </c>
      <c r="C22">
        <v>3722336</v>
      </c>
    </row>
    <row r="23" spans="2:3" x14ac:dyDescent="0.25">
      <c r="B23" s="2">
        <v>37165</v>
      </c>
      <c r="C23">
        <v>68553</v>
      </c>
    </row>
    <row r="24" spans="2:3" x14ac:dyDescent="0.25">
      <c r="B24" s="2">
        <v>37196</v>
      </c>
      <c r="C24">
        <v>2954</v>
      </c>
    </row>
    <row r="25" spans="2:3" x14ac:dyDescent="0.25">
      <c r="B25" s="2">
        <v>37226</v>
      </c>
      <c r="C25">
        <v>5222585</v>
      </c>
    </row>
    <row r="26" spans="2:3" x14ac:dyDescent="0.25">
      <c r="B26" s="2">
        <v>37257</v>
      </c>
      <c r="C26">
        <v>8582638</v>
      </c>
    </row>
    <row r="27" spans="2:3" x14ac:dyDescent="0.25">
      <c r="B27" s="2">
        <v>37288</v>
      </c>
      <c r="C27">
        <v>6278114</v>
      </c>
    </row>
    <row r="28" spans="2:3" x14ac:dyDescent="0.25">
      <c r="B28" s="2">
        <v>37316</v>
      </c>
      <c r="C28">
        <v>2273313</v>
      </c>
    </row>
    <row r="29" spans="2:3" x14ac:dyDescent="0.25">
      <c r="B29" s="2">
        <v>37347</v>
      </c>
      <c r="C29">
        <v>7496329</v>
      </c>
    </row>
    <row r="30" spans="2:3" x14ac:dyDescent="0.25">
      <c r="B30" s="2">
        <v>37377</v>
      </c>
      <c r="C30">
        <v>25271074</v>
      </c>
    </row>
    <row r="31" spans="2:3" x14ac:dyDescent="0.25">
      <c r="B31" s="2">
        <v>37408</v>
      </c>
      <c r="C31">
        <v>24675022</v>
      </c>
    </row>
    <row r="32" spans="2:3" x14ac:dyDescent="0.25">
      <c r="B32" s="2">
        <v>37438</v>
      </c>
      <c r="C32">
        <v>20131998</v>
      </c>
    </row>
    <row r="33" spans="2:3" x14ac:dyDescent="0.25">
      <c r="B33" s="2">
        <v>37469</v>
      </c>
      <c r="C33">
        <v>15300577</v>
      </c>
    </row>
    <row r="34" spans="2:3" x14ac:dyDescent="0.25">
      <c r="B34" s="2">
        <v>37500</v>
      </c>
      <c r="C34">
        <v>1919411</v>
      </c>
    </row>
    <row r="35" spans="2:3" x14ac:dyDescent="0.25">
      <c r="B35" s="2">
        <v>37530</v>
      </c>
      <c r="C35">
        <v>11144954</v>
      </c>
    </row>
    <row r="36" spans="2:3" x14ac:dyDescent="0.25">
      <c r="B36" s="2">
        <v>37561</v>
      </c>
      <c r="C36">
        <v>90351</v>
      </c>
    </row>
    <row r="37" spans="2:3" x14ac:dyDescent="0.25">
      <c r="B37" s="2">
        <v>37591</v>
      </c>
      <c r="C37">
        <v>5649171</v>
      </c>
    </row>
    <row r="38" spans="2:3" x14ac:dyDescent="0.25">
      <c r="B38" s="2">
        <v>37622</v>
      </c>
      <c r="C38">
        <v>6283421</v>
      </c>
    </row>
    <row r="39" spans="2:3" x14ac:dyDescent="0.25">
      <c r="B39" s="2">
        <v>37653</v>
      </c>
      <c r="C39">
        <v>2525973</v>
      </c>
    </row>
    <row r="40" spans="2:3" x14ac:dyDescent="0.25">
      <c r="B40" s="2">
        <v>37681</v>
      </c>
      <c r="C40">
        <v>3671795</v>
      </c>
    </row>
    <row r="41" spans="2:3" x14ac:dyDescent="0.25">
      <c r="B41" s="2">
        <v>37712</v>
      </c>
      <c r="C41">
        <v>7352435</v>
      </c>
    </row>
    <row r="42" spans="2:3" x14ac:dyDescent="0.25">
      <c r="B42" s="2">
        <v>37742</v>
      </c>
      <c r="C42">
        <v>11266884</v>
      </c>
    </row>
    <row r="43" spans="2:3" x14ac:dyDescent="0.25">
      <c r="B43" s="2">
        <v>37773</v>
      </c>
      <c r="C43">
        <v>44196655</v>
      </c>
    </row>
    <row r="44" spans="2:3" x14ac:dyDescent="0.25">
      <c r="B44" s="2">
        <v>37803</v>
      </c>
      <c r="C44">
        <v>38329803</v>
      </c>
    </row>
    <row r="45" spans="2:3" x14ac:dyDescent="0.25">
      <c r="B45" s="2">
        <v>37834</v>
      </c>
      <c r="C45">
        <v>15768581</v>
      </c>
    </row>
    <row r="46" spans="2:3" x14ac:dyDescent="0.25">
      <c r="B46" s="2">
        <v>37865</v>
      </c>
      <c r="C46">
        <v>425474</v>
      </c>
    </row>
    <row r="47" spans="2:3" x14ac:dyDescent="0.25">
      <c r="B47" s="2">
        <v>37895</v>
      </c>
      <c r="C47">
        <v>2556536</v>
      </c>
    </row>
    <row r="48" spans="2:3" x14ac:dyDescent="0.25">
      <c r="B48" s="2">
        <v>37926</v>
      </c>
      <c r="C48">
        <v>775418</v>
      </c>
    </row>
    <row r="49" spans="2:3" x14ac:dyDescent="0.25">
      <c r="B49" s="2">
        <v>37956</v>
      </c>
      <c r="C49">
        <v>9097427</v>
      </c>
    </row>
    <row r="50" spans="2:3" x14ac:dyDescent="0.25">
      <c r="B50" s="2">
        <v>37987</v>
      </c>
      <c r="C50">
        <v>7647047</v>
      </c>
    </row>
    <row r="51" spans="2:3" x14ac:dyDescent="0.25">
      <c r="B51" s="2">
        <v>38018</v>
      </c>
      <c r="C51">
        <v>1831041</v>
      </c>
    </row>
    <row r="52" spans="2:3" x14ac:dyDescent="0.25">
      <c r="B52" s="2">
        <v>38047</v>
      </c>
      <c r="C52">
        <v>8039125</v>
      </c>
    </row>
    <row r="53" spans="2:3" x14ac:dyDescent="0.25">
      <c r="B53" s="2">
        <v>38078</v>
      </c>
      <c r="C53">
        <v>2775687</v>
      </c>
    </row>
    <row r="54" spans="2:3" x14ac:dyDescent="0.25">
      <c r="B54" s="2">
        <v>38108</v>
      </c>
      <c r="C54">
        <v>21819802</v>
      </c>
    </row>
    <row r="55" spans="2:3" x14ac:dyDescent="0.25">
      <c r="B55" s="2">
        <v>38139</v>
      </c>
      <c r="C55">
        <v>16505777</v>
      </c>
    </row>
    <row r="56" spans="2:3" x14ac:dyDescent="0.25">
      <c r="B56" s="2">
        <v>38169</v>
      </c>
      <c r="C56">
        <v>2388014</v>
      </c>
    </row>
    <row r="57" spans="2:3" x14ac:dyDescent="0.25">
      <c r="B57" s="2">
        <v>38200</v>
      </c>
      <c r="C57">
        <v>15054</v>
      </c>
    </row>
    <row r="58" spans="2:3" x14ac:dyDescent="0.25">
      <c r="B58" s="2">
        <v>38231</v>
      </c>
      <c r="C58">
        <v>1433750</v>
      </c>
    </row>
    <row r="59" spans="2:3" x14ac:dyDescent="0.25">
      <c r="B59" s="2">
        <v>38261</v>
      </c>
      <c r="C59">
        <v>0</v>
      </c>
    </row>
    <row r="60" spans="2:3" x14ac:dyDescent="0.25">
      <c r="B60" s="2">
        <v>38292</v>
      </c>
      <c r="C60">
        <v>1372518</v>
      </c>
    </row>
    <row r="61" spans="2:3" x14ac:dyDescent="0.25">
      <c r="B61" s="2">
        <v>38322</v>
      </c>
      <c r="C61">
        <v>5615917</v>
      </c>
    </row>
    <row r="62" spans="2:3" x14ac:dyDescent="0.25">
      <c r="B62" s="2">
        <v>38353</v>
      </c>
      <c r="C62">
        <v>92</v>
      </c>
    </row>
    <row r="63" spans="2:3" x14ac:dyDescent="0.25">
      <c r="B63" s="2">
        <v>38384</v>
      </c>
      <c r="C63">
        <v>2926780</v>
      </c>
    </row>
    <row r="64" spans="2:3" x14ac:dyDescent="0.25">
      <c r="B64" s="2">
        <v>38412</v>
      </c>
      <c r="C64">
        <v>564445</v>
      </c>
    </row>
    <row r="65" spans="2:3" x14ac:dyDescent="0.25">
      <c r="B65" s="2">
        <v>38443</v>
      </c>
      <c r="C65">
        <v>2916195</v>
      </c>
    </row>
    <row r="66" spans="2:3" x14ac:dyDescent="0.25">
      <c r="B66" s="2">
        <v>38473</v>
      </c>
      <c r="C66">
        <v>888769</v>
      </c>
    </row>
    <row r="67" spans="2:3" x14ac:dyDescent="0.25">
      <c r="B67" s="2">
        <v>38504</v>
      </c>
      <c r="C67">
        <v>22464156</v>
      </c>
    </row>
    <row r="68" spans="2:3" x14ac:dyDescent="0.25">
      <c r="B68" s="2">
        <v>38534</v>
      </c>
      <c r="C68">
        <v>5623114</v>
      </c>
    </row>
    <row r="69" spans="2:3" x14ac:dyDescent="0.25">
      <c r="B69" s="2">
        <v>38565</v>
      </c>
      <c r="C69">
        <v>0</v>
      </c>
    </row>
    <row r="70" spans="2:3" x14ac:dyDescent="0.25">
      <c r="B70" s="2">
        <v>38596</v>
      </c>
      <c r="C70">
        <v>991424</v>
      </c>
    </row>
    <row r="71" spans="2:3" x14ac:dyDescent="0.25">
      <c r="B71" s="2">
        <v>38626</v>
      </c>
      <c r="C71">
        <v>239448</v>
      </c>
    </row>
    <row r="72" spans="2:3" x14ac:dyDescent="0.25">
      <c r="B72" s="2">
        <v>38657</v>
      </c>
      <c r="C72">
        <v>969248</v>
      </c>
    </row>
    <row r="73" spans="2:3" x14ac:dyDescent="0.25">
      <c r="B73" s="2">
        <v>38687</v>
      </c>
      <c r="C73">
        <v>2659067</v>
      </c>
    </row>
    <row r="74" spans="2:3" x14ac:dyDescent="0.25">
      <c r="B74" s="2">
        <v>38718</v>
      </c>
      <c r="C74">
        <v>4939867</v>
      </c>
    </row>
    <row r="75" spans="2:3" x14ac:dyDescent="0.25">
      <c r="B75" s="2">
        <v>38749</v>
      </c>
      <c r="C75">
        <v>3186817</v>
      </c>
    </row>
    <row r="76" spans="2:3" x14ac:dyDescent="0.25">
      <c r="B76" s="2">
        <v>38777</v>
      </c>
      <c r="C76">
        <v>3401741</v>
      </c>
    </row>
    <row r="77" spans="2:3" x14ac:dyDescent="0.25">
      <c r="B77" s="2">
        <v>38808</v>
      </c>
      <c r="C77">
        <v>11901968</v>
      </c>
    </row>
    <row r="78" spans="2:3" x14ac:dyDescent="0.25">
      <c r="B78" s="2">
        <v>38838</v>
      </c>
      <c r="C78">
        <v>2684520</v>
      </c>
    </row>
    <row r="79" spans="2:3" x14ac:dyDescent="0.25">
      <c r="B79" s="2">
        <v>38869</v>
      </c>
      <c r="C79">
        <v>4594261</v>
      </c>
    </row>
    <row r="80" spans="2:3" x14ac:dyDescent="0.25">
      <c r="B80" s="2">
        <v>38899</v>
      </c>
      <c r="C80">
        <v>14581</v>
      </c>
    </row>
    <row r="81" spans="2:3" x14ac:dyDescent="0.25">
      <c r="B81" s="2">
        <v>38930</v>
      </c>
      <c r="C81">
        <v>41382</v>
      </c>
    </row>
    <row r="82" spans="2:3" x14ac:dyDescent="0.25">
      <c r="B82" s="2">
        <v>38961</v>
      </c>
      <c r="C82">
        <v>32794</v>
      </c>
    </row>
    <row r="83" spans="2:3" x14ac:dyDescent="0.25">
      <c r="B83" s="2">
        <v>38991</v>
      </c>
      <c r="C83">
        <v>930008</v>
      </c>
    </row>
    <row r="84" spans="2:3" x14ac:dyDescent="0.25">
      <c r="B84" s="2">
        <v>39022</v>
      </c>
      <c r="C84">
        <v>2160573</v>
      </c>
    </row>
    <row r="85" spans="2:3" x14ac:dyDescent="0.25">
      <c r="B85" s="2">
        <v>39052</v>
      </c>
      <c r="C85">
        <v>2730143</v>
      </c>
    </row>
    <row r="86" spans="2:3" x14ac:dyDescent="0.25">
      <c r="B86" s="2">
        <v>39083</v>
      </c>
      <c r="C86">
        <v>61857</v>
      </c>
    </row>
    <row r="87" spans="2:3" x14ac:dyDescent="0.25">
      <c r="B87" s="2">
        <v>39114</v>
      </c>
      <c r="C87">
        <v>89413</v>
      </c>
    </row>
    <row r="88" spans="2:3" x14ac:dyDescent="0.25">
      <c r="B88" s="2">
        <v>39142</v>
      </c>
      <c r="C88">
        <v>631253</v>
      </c>
    </row>
    <row r="89" spans="2:3" x14ac:dyDescent="0.25">
      <c r="B89" s="2">
        <v>39173</v>
      </c>
      <c r="C89">
        <v>219872</v>
      </c>
    </row>
    <row r="90" spans="2:3" x14ac:dyDescent="0.25">
      <c r="B90" s="2">
        <v>39203</v>
      </c>
      <c r="C90">
        <v>14948644</v>
      </c>
    </row>
    <row r="91" spans="2:3" x14ac:dyDescent="0.25">
      <c r="B91" s="2">
        <v>39234</v>
      </c>
      <c r="C91">
        <v>6526977</v>
      </c>
    </row>
    <row r="92" spans="2:3" x14ac:dyDescent="0.25">
      <c r="B92" s="2">
        <v>39264</v>
      </c>
      <c r="C92">
        <v>333343</v>
      </c>
    </row>
    <row r="93" spans="2:3" x14ac:dyDescent="0.25">
      <c r="B93" s="2">
        <v>39295</v>
      </c>
      <c r="C93">
        <v>201384</v>
      </c>
    </row>
    <row r="94" spans="2:3" x14ac:dyDescent="0.25">
      <c r="B94" s="2">
        <v>39326</v>
      </c>
      <c r="C94">
        <v>187317</v>
      </c>
    </row>
    <row r="95" spans="2:3" x14ac:dyDescent="0.25">
      <c r="B95" s="2">
        <v>39356</v>
      </c>
      <c r="C95">
        <v>1283194</v>
      </c>
    </row>
    <row r="96" spans="2:3" x14ac:dyDescent="0.25">
      <c r="B96" s="2">
        <v>39387</v>
      </c>
      <c r="C96">
        <v>657423</v>
      </c>
    </row>
    <row r="97" spans="2:3" x14ac:dyDescent="0.25">
      <c r="B97" s="2">
        <v>39417</v>
      </c>
      <c r="C97">
        <v>8585924</v>
      </c>
    </row>
    <row r="98" spans="2:3" x14ac:dyDescent="0.25">
      <c r="B98" s="2">
        <v>39448</v>
      </c>
      <c r="C98">
        <v>185454</v>
      </c>
    </row>
    <row r="99" spans="2:3" x14ac:dyDescent="0.25">
      <c r="B99" s="2">
        <v>39479</v>
      </c>
      <c r="C99">
        <v>329021</v>
      </c>
    </row>
    <row r="100" spans="2:3" x14ac:dyDescent="0.25">
      <c r="B100" s="2">
        <v>39508</v>
      </c>
      <c r="C100">
        <v>1192921</v>
      </c>
    </row>
    <row r="101" spans="2:3" x14ac:dyDescent="0.25">
      <c r="B101" s="2">
        <v>39539</v>
      </c>
      <c r="C101">
        <v>581849</v>
      </c>
    </row>
    <row r="102" spans="2:3" x14ac:dyDescent="0.25">
      <c r="B102" s="2">
        <v>39569</v>
      </c>
      <c r="C102">
        <v>21416280</v>
      </c>
    </row>
    <row r="103" spans="2:3" x14ac:dyDescent="0.25">
      <c r="B103" s="2">
        <v>39600</v>
      </c>
      <c r="C103">
        <v>1838064</v>
      </c>
    </row>
    <row r="104" spans="2:3" x14ac:dyDescent="0.25">
      <c r="B104" s="2">
        <v>39630</v>
      </c>
      <c r="C104">
        <v>5630489</v>
      </c>
    </row>
    <row r="105" spans="2:3" x14ac:dyDescent="0.25">
      <c r="B105" s="2">
        <v>39661</v>
      </c>
      <c r="C105">
        <v>314436</v>
      </c>
    </row>
    <row r="106" spans="2:3" x14ac:dyDescent="0.25">
      <c r="B106" s="2">
        <v>39692</v>
      </c>
      <c r="C106">
        <v>2777577</v>
      </c>
    </row>
    <row r="107" spans="2:3" x14ac:dyDescent="0.25">
      <c r="B107" s="2">
        <v>39722</v>
      </c>
      <c r="C107">
        <v>6321081</v>
      </c>
    </row>
    <row r="108" spans="2:3" x14ac:dyDescent="0.25">
      <c r="B108" s="2">
        <v>39753</v>
      </c>
      <c r="C108">
        <v>492718</v>
      </c>
    </row>
    <row r="109" spans="2:3" x14ac:dyDescent="0.25">
      <c r="B109" s="2">
        <v>39783</v>
      </c>
      <c r="C109">
        <v>2004777</v>
      </c>
    </row>
    <row r="110" spans="2:3" x14ac:dyDescent="0.25">
      <c r="B110" s="2">
        <v>39814</v>
      </c>
      <c r="C110">
        <v>2306982</v>
      </c>
    </row>
    <row r="111" spans="2:3" x14ac:dyDescent="0.25">
      <c r="B111" s="2">
        <v>39845</v>
      </c>
      <c r="C111">
        <v>1092647</v>
      </c>
    </row>
    <row r="112" spans="2:3" x14ac:dyDescent="0.25">
      <c r="B112" s="2">
        <v>39873</v>
      </c>
      <c r="C112">
        <v>54278</v>
      </c>
    </row>
    <row r="113" spans="2:3" x14ac:dyDescent="0.25">
      <c r="B113" s="2">
        <v>39904</v>
      </c>
      <c r="C113">
        <v>6350933</v>
      </c>
    </row>
    <row r="114" spans="2:3" x14ac:dyDescent="0.25">
      <c r="B114" s="2">
        <v>39934</v>
      </c>
      <c r="C114">
        <v>11049422</v>
      </c>
    </row>
    <row r="115" spans="2:3" x14ac:dyDescent="0.25">
      <c r="B115" s="2">
        <v>39965</v>
      </c>
      <c r="C115">
        <v>5935683</v>
      </c>
    </row>
    <row r="116" spans="2:3" x14ac:dyDescent="0.25">
      <c r="B116" s="2">
        <v>39995</v>
      </c>
      <c r="C116">
        <v>5041877</v>
      </c>
    </row>
    <row r="117" spans="2:3" x14ac:dyDescent="0.25">
      <c r="B117" s="2">
        <v>40026</v>
      </c>
      <c r="C117">
        <v>1669380</v>
      </c>
    </row>
    <row r="118" spans="2:3" x14ac:dyDescent="0.25">
      <c r="B118" s="2">
        <v>40057</v>
      </c>
      <c r="C118">
        <v>453597</v>
      </c>
    </row>
    <row r="119" spans="2:3" x14ac:dyDescent="0.25">
      <c r="B119" s="2">
        <v>40087</v>
      </c>
      <c r="C119">
        <v>1445908</v>
      </c>
    </row>
    <row r="120" spans="2:3" x14ac:dyDescent="0.25">
      <c r="B120" s="2">
        <v>40118</v>
      </c>
      <c r="C120">
        <v>551455</v>
      </c>
    </row>
    <row r="121" spans="2:3" x14ac:dyDescent="0.25">
      <c r="B121" s="2">
        <v>40148</v>
      </c>
      <c r="C121">
        <v>1514169</v>
      </c>
    </row>
    <row r="122" spans="2:3" x14ac:dyDescent="0.25">
      <c r="B122" s="2">
        <v>40179</v>
      </c>
      <c r="C122">
        <v>3316210</v>
      </c>
    </row>
    <row r="123" spans="2:3" x14ac:dyDescent="0.25">
      <c r="B123" s="2">
        <v>40210</v>
      </c>
      <c r="C123">
        <v>6376900</v>
      </c>
    </row>
    <row r="124" spans="2:3" x14ac:dyDescent="0.25">
      <c r="B124" s="2">
        <v>40238</v>
      </c>
      <c r="C124">
        <v>2700390</v>
      </c>
    </row>
    <row r="125" spans="2:3" x14ac:dyDescent="0.25">
      <c r="B125" s="2">
        <v>40269</v>
      </c>
      <c r="C125">
        <v>277787</v>
      </c>
    </row>
    <row r="126" spans="2:3" x14ac:dyDescent="0.25">
      <c r="B126" s="2">
        <v>40299</v>
      </c>
      <c r="C126">
        <v>4051967</v>
      </c>
    </row>
    <row r="127" spans="2:3" x14ac:dyDescent="0.25">
      <c r="B127" s="2">
        <v>40330</v>
      </c>
      <c r="C127">
        <v>6457441</v>
      </c>
    </row>
    <row r="128" spans="2:3" x14ac:dyDescent="0.25">
      <c r="B128" s="2">
        <v>40360</v>
      </c>
      <c r="C128">
        <v>4421160</v>
      </c>
    </row>
    <row r="129" spans="2:3" x14ac:dyDescent="0.25">
      <c r="B129" s="2">
        <v>40391</v>
      </c>
      <c r="C129">
        <v>4896836</v>
      </c>
    </row>
    <row r="130" spans="2:3" x14ac:dyDescent="0.25">
      <c r="B130" s="2">
        <v>40422</v>
      </c>
      <c r="C130">
        <v>6891583</v>
      </c>
    </row>
    <row r="131" spans="2:3" x14ac:dyDescent="0.25">
      <c r="B131" s="2">
        <v>40452</v>
      </c>
      <c r="C131">
        <v>641039</v>
      </c>
    </row>
    <row r="132" spans="2:3" x14ac:dyDescent="0.25">
      <c r="B132" s="2">
        <v>40483</v>
      </c>
      <c r="C132">
        <v>19700</v>
      </c>
    </row>
    <row r="133" spans="2:3" x14ac:dyDescent="0.25">
      <c r="B133" s="2">
        <v>40513</v>
      </c>
      <c r="C133">
        <v>4445865</v>
      </c>
    </row>
    <row r="134" spans="2:3" x14ac:dyDescent="0.25">
      <c r="B134" s="2">
        <v>40544</v>
      </c>
      <c r="C134">
        <v>6581480</v>
      </c>
    </row>
    <row r="135" spans="2:3" x14ac:dyDescent="0.25">
      <c r="B135" s="2">
        <v>40575</v>
      </c>
      <c r="C135">
        <v>7408146</v>
      </c>
    </row>
    <row r="136" spans="2:3" x14ac:dyDescent="0.25">
      <c r="B136" s="2">
        <v>40603</v>
      </c>
      <c r="C136">
        <v>4942909</v>
      </c>
    </row>
    <row r="137" spans="2:3" x14ac:dyDescent="0.25">
      <c r="B137" s="2">
        <v>40634</v>
      </c>
      <c r="C137">
        <v>8091318</v>
      </c>
    </row>
    <row r="138" spans="2:3" x14ac:dyDescent="0.25">
      <c r="B138" s="2">
        <v>40664</v>
      </c>
      <c r="C138">
        <v>16718821</v>
      </c>
    </row>
    <row r="139" spans="2:3" x14ac:dyDescent="0.25">
      <c r="B139" s="2">
        <v>40695</v>
      </c>
      <c r="C139">
        <v>11575764</v>
      </c>
    </row>
    <row r="140" spans="2:3" x14ac:dyDescent="0.25">
      <c r="B140" s="2">
        <v>40725</v>
      </c>
      <c r="C140">
        <v>7597394</v>
      </c>
    </row>
    <row r="141" spans="2:3" x14ac:dyDescent="0.25">
      <c r="B141" s="2">
        <v>40756</v>
      </c>
      <c r="C141">
        <v>998907</v>
      </c>
    </row>
    <row r="142" spans="2:3" x14ac:dyDescent="0.25">
      <c r="B142" s="2">
        <v>40787</v>
      </c>
      <c r="C142">
        <v>232569</v>
      </c>
    </row>
    <row r="143" spans="2:3" x14ac:dyDescent="0.25">
      <c r="B143" s="2">
        <v>40817</v>
      </c>
      <c r="C143">
        <v>458897</v>
      </c>
    </row>
    <row r="144" spans="2:3" x14ac:dyDescent="0.25">
      <c r="B144" s="2">
        <v>40848</v>
      </c>
      <c r="C144">
        <v>5007070</v>
      </c>
    </row>
    <row r="145" spans="2:3" x14ac:dyDescent="0.25">
      <c r="B145" s="2">
        <v>40878</v>
      </c>
      <c r="C145">
        <v>6093828</v>
      </c>
    </row>
    <row r="146" spans="2:3" x14ac:dyDescent="0.25">
      <c r="B146" s="2">
        <v>40909</v>
      </c>
      <c r="C146">
        <v>3194663</v>
      </c>
    </row>
    <row r="147" spans="2:3" x14ac:dyDescent="0.25">
      <c r="B147" s="2">
        <v>40940</v>
      </c>
      <c r="C147">
        <v>3182927</v>
      </c>
    </row>
    <row r="148" spans="2:3" x14ac:dyDescent="0.25">
      <c r="B148" s="2">
        <v>40969</v>
      </c>
      <c r="C148">
        <v>320007</v>
      </c>
    </row>
    <row r="149" spans="2:3" x14ac:dyDescent="0.25">
      <c r="B149" s="2">
        <v>41000</v>
      </c>
      <c r="C149">
        <v>3833273</v>
      </c>
    </row>
    <row r="150" spans="2:3" x14ac:dyDescent="0.25">
      <c r="B150" s="2">
        <v>41030</v>
      </c>
      <c r="C150">
        <v>91530</v>
      </c>
    </row>
    <row r="151" spans="2:3" x14ac:dyDescent="0.25">
      <c r="B151" s="2">
        <v>41061</v>
      </c>
      <c r="C151">
        <v>1283500</v>
      </c>
    </row>
    <row r="152" spans="2:3" x14ac:dyDescent="0.25">
      <c r="B152" s="2">
        <v>41091</v>
      </c>
      <c r="C152">
        <v>2154627</v>
      </c>
    </row>
    <row r="153" spans="2:3" x14ac:dyDescent="0.25">
      <c r="B153" s="2">
        <v>41122</v>
      </c>
      <c r="C153">
        <v>234266</v>
      </c>
    </row>
    <row r="154" spans="2:3" x14ac:dyDescent="0.25">
      <c r="B154" s="2">
        <v>41153</v>
      </c>
      <c r="C154">
        <v>1193193</v>
      </c>
    </row>
    <row r="155" spans="2:3" x14ac:dyDescent="0.25">
      <c r="B155" s="2">
        <v>41183</v>
      </c>
      <c r="C155">
        <v>12996328</v>
      </c>
    </row>
    <row r="156" spans="2:3" x14ac:dyDescent="0.25">
      <c r="B156" s="2">
        <v>41214</v>
      </c>
      <c r="C156">
        <v>12503571</v>
      </c>
    </row>
    <row r="157" spans="2:3" x14ac:dyDescent="0.25">
      <c r="B157" s="2">
        <v>41244</v>
      </c>
      <c r="C157">
        <v>15838073</v>
      </c>
    </row>
    <row r="158" spans="2:3" x14ac:dyDescent="0.25">
      <c r="B158" s="2">
        <v>41275</v>
      </c>
      <c r="C158">
        <v>48827</v>
      </c>
    </row>
    <row r="159" spans="2:3" x14ac:dyDescent="0.25">
      <c r="B159" s="2">
        <v>41306</v>
      </c>
      <c r="C159">
        <v>0</v>
      </c>
    </row>
    <row r="160" spans="2:3" x14ac:dyDescent="0.25">
      <c r="B160" s="2">
        <v>41334</v>
      </c>
      <c r="C160">
        <v>0</v>
      </c>
    </row>
    <row r="161" spans="2:3" x14ac:dyDescent="0.25">
      <c r="B161" s="2">
        <v>41365</v>
      </c>
      <c r="C161">
        <v>5311528</v>
      </c>
    </row>
    <row r="162" spans="2:3" x14ac:dyDescent="0.25">
      <c r="B162" s="2">
        <v>41395</v>
      </c>
      <c r="C162">
        <v>5045682</v>
      </c>
    </row>
    <row r="163" spans="2:3" x14ac:dyDescent="0.25">
      <c r="B163" s="2">
        <v>41426</v>
      </c>
      <c r="C163">
        <v>4927138</v>
      </c>
    </row>
    <row r="164" spans="2:3" x14ac:dyDescent="0.25">
      <c r="B164" s="2">
        <v>41456</v>
      </c>
      <c r="C164">
        <v>14604</v>
      </c>
    </row>
    <row r="165" spans="2:3" x14ac:dyDescent="0.25">
      <c r="B165" s="2">
        <v>41487</v>
      </c>
      <c r="C165">
        <v>1287308</v>
      </c>
    </row>
    <row r="166" spans="2:3" x14ac:dyDescent="0.25">
      <c r="B166" s="2">
        <v>41518</v>
      </c>
      <c r="C166">
        <v>24548</v>
      </c>
    </row>
    <row r="167" spans="2:3" x14ac:dyDescent="0.25">
      <c r="B167" s="2">
        <v>41548</v>
      </c>
      <c r="C167">
        <v>764611</v>
      </c>
    </row>
    <row r="168" spans="2:3" x14ac:dyDescent="0.25">
      <c r="B168" s="2">
        <v>41579</v>
      </c>
      <c r="C168">
        <v>639682</v>
      </c>
    </row>
    <row r="169" spans="2:3" x14ac:dyDescent="0.25">
      <c r="B169" s="2">
        <v>41609</v>
      </c>
      <c r="C169">
        <v>1362196</v>
      </c>
    </row>
    <row r="170" spans="2:3" x14ac:dyDescent="0.25">
      <c r="B170" s="2">
        <v>41640</v>
      </c>
      <c r="C170">
        <v>144403</v>
      </c>
    </row>
    <row r="171" spans="2:3" x14ac:dyDescent="0.25">
      <c r="B171" s="2">
        <v>41671</v>
      </c>
      <c r="C171">
        <v>684396</v>
      </c>
    </row>
    <row r="172" spans="2:3" x14ac:dyDescent="0.25">
      <c r="B172" s="2">
        <v>41699</v>
      </c>
      <c r="C172">
        <v>554239</v>
      </c>
    </row>
    <row r="173" spans="2:3" x14ac:dyDescent="0.25">
      <c r="B173" s="2">
        <v>41730</v>
      </c>
      <c r="C173">
        <v>4940450</v>
      </c>
    </row>
    <row r="174" spans="2:3" x14ac:dyDescent="0.25">
      <c r="B174" s="2">
        <v>41760</v>
      </c>
      <c r="C174">
        <v>4777666</v>
      </c>
    </row>
    <row r="175" spans="2:3" x14ac:dyDescent="0.25">
      <c r="B175" s="2">
        <v>41791</v>
      </c>
      <c r="C175">
        <v>7012154</v>
      </c>
    </row>
    <row r="176" spans="2:3" x14ac:dyDescent="0.25">
      <c r="B176" s="2">
        <v>41821</v>
      </c>
      <c r="C176">
        <v>342837</v>
      </c>
    </row>
    <row r="177" spans="2:3" x14ac:dyDescent="0.25">
      <c r="B177" s="2">
        <v>41852</v>
      </c>
      <c r="C177">
        <v>8489775</v>
      </c>
    </row>
    <row r="178" spans="2:3" x14ac:dyDescent="0.25">
      <c r="B178" s="2">
        <v>41883</v>
      </c>
      <c r="C178">
        <v>0</v>
      </c>
    </row>
    <row r="179" spans="2:3" x14ac:dyDescent="0.25">
      <c r="B179" s="2">
        <v>41913</v>
      </c>
      <c r="C179">
        <v>1805576</v>
      </c>
    </row>
    <row r="180" spans="2:3" x14ac:dyDescent="0.25">
      <c r="B180" s="2">
        <v>41944</v>
      </c>
      <c r="C180">
        <v>1188109</v>
      </c>
    </row>
    <row r="181" spans="2:3" x14ac:dyDescent="0.25">
      <c r="B181" s="2">
        <v>41974</v>
      </c>
      <c r="C181">
        <v>17993306</v>
      </c>
    </row>
    <row r="182" spans="2:3" x14ac:dyDescent="0.25">
      <c r="B182" s="2">
        <v>42005</v>
      </c>
      <c r="C182">
        <v>418578</v>
      </c>
    </row>
    <row r="183" spans="2:3" x14ac:dyDescent="0.25">
      <c r="B183" s="2">
        <v>42036</v>
      </c>
      <c r="C183">
        <v>208</v>
      </c>
    </row>
    <row r="184" spans="2:3" x14ac:dyDescent="0.25">
      <c r="B184" s="2">
        <v>42064</v>
      </c>
      <c r="C184">
        <v>72591</v>
      </c>
    </row>
    <row r="185" spans="2:3" x14ac:dyDescent="0.25">
      <c r="B185" s="2">
        <v>42095</v>
      </c>
      <c r="C185">
        <v>2629964</v>
      </c>
    </row>
    <row r="186" spans="2:3" x14ac:dyDescent="0.25">
      <c r="B186" s="2">
        <v>42125</v>
      </c>
      <c r="C186">
        <v>5998161</v>
      </c>
    </row>
    <row r="187" spans="2:3" x14ac:dyDescent="0.25">
      <c r="B187" s="2">
        <v>42156</v>
      </c>
      <c r="C187">
        <v>4900578</v>
      </c>
    </row>
    <row r="188" spans="2:3" x14ac:dyDescent="0.25">
      <c r="B188" s="2">
        <v>42186</v>
      </c>
      <c r="C188">
        <v>714152</v>
      </c>
    </row>
    <row r="189" spans="2:3" x14ac:dyDescent="0.25">
      <c r="B189" s="2">
        <v>42217</v>
      </c>
      <c r="C189">
        <v>4315525</v>
      </c>
    </row>
    <row r="190" spans="2:3" x14ac:dyDescent="0.25">
      <c r="B190" s="2">
        <v>42248</v>
      </c>
      <c r="C190">
        <v>2251955</v>
      </c>
    </row>
    <row r="191" spans="2:3" x14ac:dyDescent="0.25">
      <c r="B191" s="2">
        <v>42278</v>
      </c>
      <c r="C191">
        <v>894766</v>
      </c>
    </row>
    <row r="192" spans="2:3" x14ac:dyDescent="0.25">
      <c r="B192" s="2">
        <v>42309</v>
      </c>
      <c r="C192">
        <v>3516572</v>
      </c>
    </row>
    <row r="193" spans="2:3" x14ac:dyDescent="0.25">
      <c r="B193" s="2">
        <v>42339</v>
      </c>
      <c r="C193">
        <v>4148736</v>
      </c>
    </row>
    <row r="194" spans="2:3" x14ac:dyDescent="0.25">
      <c r="B194" s="2">
        <v>42370</v>
      </c>
      <c r="C194">
        <v>1733762</v>
      </c>
    </row>
    <row r="195" spans="2:3" x14ac:dyDescent="0.25">
      <c r="B195" s="2">
        <v>42401</v>
      </c>
      <c r="C195">
        <v>4772471</v>
      </c>
    </row>
    <row r="196" spans="2:3" x14ac:dyDescent="0.25">
      <c r="B196" s="2">
        <v>42430</v>
      </c>
      <c r="C196">
        <v>624470</v>
      </c>
    </row>
    <row r="197" spans="2:3" x14ac:dyDescent="0.25">
      <c r="B197" s="2">
        <v>42461</v>
      </c>
      <c r="C197">
        <v>8990717</v>
      </c>
    </row>
    <row r="198" spans="2:3" x14ac:dyDescent="0.25">
      <c r="B198" s="2">
        <v>42491</v>
      </c>
      <c r="C198">
        <v>1883099</v>
      </c>
    </row>
    <row r="199" spans="2:3" x14ac:dyDescent="0.25">
      <c r="B199" s="2">
        <v>42522</v>
      </c>
      <c r="C199">
        <v>15948714</v>
      </c>
    </row>
    <row r="200" spans="2:3" x14ac:dyDescent="0.25">
      <c r="B200" s="2">
        <v>42552</v>
      </c>
      <c r="C200">
        <v>9188216</v>
      </c>
    </row>
    <row r="201" spans="2:3" x14ac:dyDescent="0.25">
      <c r="B201" s="2">
        <v>42583</v>
      </c>
      <c r="C201">
        <v>663874</v>
      </c>
    </row>
    <row r="202" spans="2:3" x14ac:dyDescent="0.25">
      <c r="B202" s="2">
        <v>42614</v>
      </c>
      <c r="C202">
        <v>1163677</v>
      </c>
    </row>
    <row r="203" spans="2:3" x14ac:dyDescent="0.25">
      <c r="B203" s="2">
        <v>42644</v>
      </c>
      <c r="C203">
        <v>955826</v>
      </c>
    </row>
    <row r="204" spans="2:3" x14ac:dyDescent="0.25">
      <c r="B204" s="2">
        <v>42675</v>
      </c>
      <c r="C204">
        <v>315208</v>
      </c>
    </row>
    <row r="205" spans="2:3" x14ac:dyDescent="0.25">
      <c r="B205" s="2">
        <v>42705</v>
      </c>
      <c r="C205">
        <v>22433983</v>
      </c>
    </row>
    <row r="206" spans="2:3" x14ac:dyDescent="0.25">
      <c r="B206" s="2">
        <v>42736</v>
      </c>
      <c r="C206">
        <v>5893994</v>
      </c>
    </row>
    <row r="207" spans="2:3" x14ac:dyDescent="0.25">
      <c r="B207" s="2">
        <v>42767</v>
      </c>
      <c r="C207">
        <v>3371738</v>
      </c>
    </row>
    <row r="208" spans="2:3" x14ac:dyDescent="0.25">
      <c r="B208" s="2">
        <v>42795</v>
      </c>
      <c r="C208">
        <v>2958318</v>
      </c>
    </row>
    <row r="209" spans="2:3" x14ac:dyDescent="0.25">
      <c r="B209" s="2">
        <v>42826</v>
      </c>
      <c r="C209">
        <v>8619259</v>
      </c>
    </row>
    <row r="210" spans="2:3" x14ac:dyDescent="0.25">
      <c r="B210" s="2">
        <v>42856</v>
      </c>
      <c r="C210">
        <v>564397</v>
      </c>
    </row>
    <row r="211" spans="2:3" x14ac:dyDescent="0.25">
      <c r="B211" s="2">
        <v>42887</v>
      </c>
      <c r="C211">
        <v>10529953</v>
      </c>
    </row>
    <row r="212" spans="2:3" x14ac:dyDescent="0.25">
      <c r="B212" s="2">
        <v>42917</v>
      </c>
      <c r="C212">
        <v>8170090</v>
      </c>
    </row>
    <row r="213" spans="2:3" x14ac:dyDescent="0.25">
      <c r="B213" s="2">
        <v>42948</v>
      </c>
      <c r="C213">
        <v>473076</v>
      </c>
    </row>
    <row r="214" spans="2:3" x14ac:dyDescent="0.25">
      <c r="B214" s="2">
        <v>42979</v>
      </c>
      <c r="C214">
        <v>632403</v>
      </c>
    </row>
    <row r="215" spans="2:3" x14ac:dyDescent="0.25">
      <c r="B215" s="2">
        <v>43009</v>
      </c>
      <c r="C215">
        <v>373665</v>
      </c>
    </row>
    <row r="216" spans="2:3" x14ac:dyDescent="0.25">
      <c r="B216" s="2">
        <v>43040</v>
      </c>
      <c r="C216">
        <v>2438440</v>
      </c>
    </row>
    <row r="217" spans="2:3" x14ac:dyDescent="0.25">
      <c r="B217" s="2">
        <v>43070</v>
      </c>
      <c r="C217">
        <v>11671488</v>
      </c>
    </row>
    <row r="218" spans="2:3" x14ac:dyDescent="0.25">
      <c r="B218" s="2">
        <v>43101</v>
      </c>
      <c r="C218">
        <v>3186624</v>
      </c>
    </row>
    <row r="219" spans="2:3" x14ac:dyDescent="0.25">
      <c r="B219" s="2">
        <v>43132</v>
      </c>
      <c r="C219">
        <v>500519</v>
      </c>
    </row>
    <row r="220" spans="2:3" x14ac:dyDescent="0.25">
      <c r="B220" s="2">
        <v>43160</v>
      </c>
      <c r="C220">
        <v>746365</v>
      </c>
    </row>
    <row r="221" spans="2:3" x14ac:dyDescent="0.25">
      <c r="B221" s="2">
        <v>43191</v>
      </c>
      <c r="C221">
        <v>21827955</v>
      </c>
    </row>
    <row r="222" spans="2:3" x14ac:dyDescent="0.25">
      <c r="B222" s="2">
        <v>43221</v>
      </c>
      <c r="C222">
        <v>10312860</v>
      </c>
    </row>
    <row r="223" spans="2:3" x14ac:dyDescent="0.25">
      <c r="B223" s="2">
        <v>43252</v>
      </c>
      <c r="C223">
        <v>7452629</v>
      </c>
    </row>
    <row r="224" spans="2:3" x14ac:dyDescent="0.25">
      <c r="B224" s="2">
        <v>43282</v>
      </c>
      <c r="C224">
        <v>3500983</v>
      </c>
    </row>
    <row r="225" spans="2:3" x14ac:dyDescent="0.25">
      <c r="B225" s="2">
        <v>43313</v>
      </c>
      <c r="C225">
        <v>2406216</v>
      </c>
    </row>
    <row r="226" spans="2:3" x14ac:dyDescent="0.25">
      <c r="B226" s="2">
        <v>43344</v>
      </c>
      <c r="C226">
        <v>5886206</v>
      </c>
    </row>
    <row r="227" spans="2:3" x14ac:dyDescent="0.25">
      <c r="B227" s="2">
        <v>43374</v>
      </c>
      <c r="C227">
        <v>5001506</v>
      </c>
    </row>
    <row r="228" spans="2:3" x14ac:dyDescent="0.25">
      <c r="B228" s="2">
        <v>43405</v>
      </c>
      <c r="C228">
        <v>11947720</v>
      </c>
    </row>
    <row r="229" spans="2:3" x14ac:dyDescent="0.25">
      <c r="B229" s="2">
        <v>43435</v>
      </c>
      <c r="C229">
        <v>28017522</v>
      </c>
    </row>
    <row r="230" spans="2:3" x14ac:dyDescent="0.25">
      <c r="B230" s="2">
        <v>43466</v>
      </c>
      <c r="C230">
        <v>2600036</v>
      </c>
    </row>
    <row r="231" spans="2:3" x14ac:dyDescent="0.25">
      <c r="B231" s="2">
        <v>43497</v>
      </c>
      <c r="C231">
        <v>1292975</v>
      </c>
    </row>
    <row r="232" spans="2:3" x14ac:dyDescent="0.25">
      <c r="B232" s="2">
        <v>43525</v>
      </c>
      <c r="C232">
        <v>15257508</v>
      </c>
    </row>
    <row r="233" spans="2:3" x14ac:dyDescent="0.25">
      <c r="B233" s="2">
        <v>43556</v>
      </c>
      <c r="C233">
        <v>690300</v>
      </c>
    </row>
    <row r="234" spans="2:3" x14ac:dyDescent="0.25">
      <c r="B234" s="2">
        <v>43586</v>
      </c>
      <c r="C234">
        <v>6435388</v>
      </c>
    </row>
    <row r="235" spans="2:3" x14ac:dyDescent="0.25">
      <c r="B235" s="2">
        <v>43617</v>
      </c>
      <c r="C235">
        <v>5606362</v>
      </c>
    </row>
    <row r="236" spans="2:3" x14ac:dyDescent="0.25">
      <c r="B236" s="2">
        <v>43647</v>
      </c>
      <c r="C236">
        <v>1529705</v>
      </c>
    </row>
    <row r="237" spans="2:3" x14ac:dyDescent="0.25">
      <c r="B237" s="2">
        <v>43678</v>
      </c>
      <c r="C237">
        <v>1211867</v>
      </c>
    </row>
    <row r="238" spans="2:3" x14ac:dyDescent="0.25">
      <c r="B238" s="2">
        <v>43709</v>
      </c>
      <c r="C238">
        <v>2777192</v>
      </c>
    </row>
    <row r="239" spans="2:3" x14ac:dyDescent="0.25">
      <c r="B239" s="2">
        <v>43739</v>
      </c>
      <c r="C239">
        <v>519642</v>
      </c>
    </row>
    <row r="240" spans="2:3" x14ac:dyDescent="0.25">
      <c r="B240" s="2">
        <v>43770</v>
      </c>
      <c r="C240">
        <v>3442509</v>
      </c>
    </row>
    <row r="241" spans="2:3" x14ac:dyDescent="0.25">
      <c r="B241" s="2">
        <v>43800</v>
      </c>
      <c r="C241">
        <v>15229561</v>
      </c>
    </row>
    <row r="242" spans="2:3" x14ac:dyDescent="0.25">
      <c r="B242" s="2">
        <v>43831</v>
      </c>
      <c r="C242">
        <v>5162882</v>
      </c>
    </row>
    <row r="243" spans="2:3" x14ac:dyDescent="0.25">
      <c r="B243" s="2">
        <v>43862</v>
      </c>
      <c r="C243">
        <v>4707805</v>
      </c>
    </row>
    <row r="244" spans="2:3" x14ac:dyDescent="0.25">
      <c r="B244" s="2">
        <v>43891</v>
      </c>
      <c r="C244">
        <v>8683372</v>
      </c>
    </row>
    <row r="245" spans="2:3" x14ac:dyDescent="0.25">
      <c r="B245" s="2">
        <v>43922</v>
      </c>
      <c r="C245">
        <v>8814647</v>
      </c>
    </row>
    <row r="246" spans="2:3" x14ac:dyDescent="0.25">
      <c r="B246" s="2">
        <v>43952</v>
      </c>
      <c r="C246">
        <v>6686170</v>
      </c>
    </row>
    <row r="247" spans="2:3" x14ac:dyDescent="0.25">
      <c r="B247" s="2">
        <v>43983</v>
      </c>
      <c r="C247">
        <v>4033597</v>
      </c>
    </row>
    <row r="248" spans="2:3" x14ac:dyDescent="0.25">
      <c r="B248" s="2">
        <v>44013</v>
      </c>
      <c r="C248">
        <v>1364330</v>
      </c>
    </row>
    <row r="249" spans="2:3" x14ac:dyDescent="0.25">
      <c r="B249" s="2">
        <v>44044</v>
      </c>
      <c r="C249">
        <v>1497231</v>
      </c>
    </row>
    <row r="250" spans="2:3" x14ac:dyDescent="0.25">
      <c r="B250" s="2">
        <v>44075</v>
      </c>
      <c r="C250">
        <v>5534295</v>
      </c>
    </row>
    <row r="251" spans="2:3" x14ac:dyDescent="0.25">
      <c r="B251" s="2">
        <v>44105</v>
      </c>
      <c r="C251">
        <v>3794730</v>
      </c>
    </row>
    <row r="252" spans="2:3" x14ac:dyDescent="0.25">
      <c r="B252" s="2">
        <v>44136</v>
      </c>
      <c r="C252">
        <v>4661863</v>
      </c>
    </row>
    <row r="253" spans="2:3" x14ac:dyDescent="0.25">
      <c r="B253" s="2">
        <v>44166</v>
      </c>
      <c r="C253">
        <v>20152259</v>
      </c>
    </row>
    <row r="254" spans="2:3" x14ac:dyDescent="0.25">
      <c r="B254" s="2">
        <v>44197</v>
      </c>
      <c r="C254">
        <v>6794126</v>
      </c>
    </row>
    <row r="255" spans="2:3" x14ac:dyDescent="0.25">
      <c r="B255" s="2">
        <v>44228</v>
      </c>
      <c r="C255">
        <v>1949146</v>
      </c>
    </row>
    <row r="256" spans="2:3" x14ac:dyDescent="0.25">
      <c r="B256" s="2">
        <v>44256</v>
      </c>
      <c r="C256">
        <v>5507837</v>
      </c>
    </row>
    <row r="257" spans="2:9" x14ac:dyDescent="0.25">
      <c r="B257" s="2">
        <v>44287</v>
      </c>
      <c r="C257">
        <v>5676948</v>
      </c>
    </row>
    <row r="258" spans="2:9" x14ac:dyDescent="0.25">
      <c r="B258" s="2">
        <v>44317</v>
      </c>
      <c r="C258">
        <v>3476194</v>
      </c>
    </row>
    <row r="259" spans="2:9" ht="17.25" x14ac:dyDescent="0.3">
      <c r="B259" s="2">
        <v>44348</v>
      </c>
      <c r="C259">
        <v>4539731</v>
      </c>
      <c r="E259" s="8" t="s">
        <v>16</v>
      </c>
      <c r="F259" s="8" t="s">
        <v>19</v>
      </c>
    </row>
    <row r="260" spans="2:9" x14ac:dyDescent="0.25">
      <c r="B260" s="2">
        <v>44378</v>
      </c>
      <c r="C260">
        <v>5499739</v>
      </c>
      <c r="D260" s="4">
        <v>2796432.5330374399</v>
      </c>
      <c r="E260" s="4">
        <f t="shared" ref="E260:E277" si="0">ABS((C260-D260)/C260)</f>
        <v>0.49153359222366011</v>
      </c>
      <c r="F260" s="5">
        <f>ABS(C260-D260)</f>
        <v>2703306.4669625601</v>
      </c>
      <c r="H260" s="6"/>
    </row>
    <row r="261" spans="2:9" x14ac:dyDescent="0.25">
      <c r="B261" s="2">
        <v>44409</v>
      </c>
      <c r="C261">
        <v>2580244</v>
      </c>
      <c r="D261" s="4">
        <v>3080932.9734357698</v>
      </c>
      <c r="E261" s="4">
        <f t="shared" si="0"/>
        <v>0.19404714183455898</v>
      </c>
      <c r="F261" s="5">
        <f t="shared" ref="F261:F277" si="1">ABS(C261-D261)</f>
        <v>500688.97343576979</v>
      </c>
    </row>
    <row r="262" spans="2:9" x14ac:dyDescent="0.25">
      <c r="B262" s="2">
        <v>44440</v>
      </c>
      <c r="C262">
        <v>1996721</v>
      </c>
      <c r="D262" s="4">
        <v>3707509.6577924401</v>
      </c>
      <c r="E262" s="4">
        <f t="shared" si="0"/>
        <v>0.85679905094023656</v>
      </c>
      <c r="F262" s="5">
        <f t="shared" si="1"/>
        <v>1710788.6577924401</v>
      </c>
    </row>
    <row r="263" spans="2:9" x14ac:dyDescent="0.25">
      <c r="B263" s="2">
        <v>44470</v>
      </c>
      <c r="C263">
        <v>14743853</v>
      </c>
      <c r="D263" s="4">
        <v>2279589.0444290801</v>
      </c>
      <c r="E263" s="4">
        <f t="shared" si="0"/>
        <v>0.84538715596058367</v>
      </c>
      <c r="F263" s="5">
        <f>ABS(C263-D263)</f>
        <v>12464263.955570919</v>
      </c>
    </row>
    <row r="264" spans="2:9" x14ac:dyDescent="0.25">
      <c r="B264" s="2">
        <v>44501</v>
      </c>
      <c r="C264">
        <v>3574557</v>
      </c>
      <c r="D264" s="4">
        <v>8417937.2351915892</v>
      </c>
      <c r="E264" s="4">
        <f t="shared" si="0"/>
        <v>1.3549595754639217</v>
      </c>
      <c r="F264" s="5">
        <f t="shared" si="1"/>
        <v>4843380.2351915892</v>
      </c>
    </row>
    <row r="265" spans="2:9" x14ac:dyDescent="0.25">
      <c r="B265" s="2">
        <v>44531</v>
      </c>
      <c r="C265">
        <v>14987686</v>
      </c>
      <c r="D265" s="4">
        <v>16916791.194874201</v>
      </c>
      <c r="E265" s="4">
        <f t="shared" si="0"/>
        <v>0.12871267751901133</v>
      </c>
      <c r="F265" s="5">
        <f t="shared" si="1"/>
        <v>1929105.194874201</v>
      </c>
    </row>
    <row r="266" spans="2:9" x14ac:dyDescent="0.25">
      <c r="B266" s="2">
        <v>44562</v>
      </c>
      <c r="C266">
        <v>4042415</v>
      </c>
      <c r="D266" s="4">
        <v>4214292.9563695397</v>
      </c>
      <c r="E266" s="4">
        <f t="shared" si="0"/>
        <v>4.2518632146758738E-2</v>
      </c>
      <c r="F266" s="5">
        <f t="shared" si="1"/>
        <v>171877.95636953972</v>
      </c>
      <c r="H266" s="2"/>
      <c r="I266" s="2"/>
    </row>
    <row r="267" spans="2:9" x14ac:dyDescent="0.25">
      <c r="B267" s="2">
        <v>44593</v>
      </c>
      <c r="C267">
        <v>1030123</v>
      </c>
      <c r="D267" s="4">
        <v>1907667.38336584</v>
      </c>
      <c r="E267" s="4">
        <f t="shared" si="0"/>
        <v>0.85188310848883086</v>
      </c>
      <c r="F267" s="5">
        <f t="shared" si="1"/>
        <v>877544.38336583995</v>
      </c>
      <c r="H267" s="2"/>
      <c r="I267" s="2"/>
    </row>
    <row r="268" spans="2:9" x14ac:dyDescent="0.25">
      <c r="B268" s="2">
        <v>44621</v>
      </c>
      <c r="C268">
        <v>4708485</v>
      </c>
      <c r="D268" s="4">
        <v>6917394.9863158399</v>
      </c>
      <c r="E268" s="4">
        <f t="shared" si="0"/>
        <v>0.4691339117180664</v>
      </c>
      <c r="F268" s="5">
        <f t="shared" si="1"/>
        <v>2208909.9863158399</v>
      </c>
      <c r="H268" s="2"/>
      <c r="I268" s="2"/>
    </row>
    <row r="269" spans="2:9" x14ac:dyDescent="0.25">
      <c r="B269" s="2">
        <v>44652</v>
      </c>
      <c r="C269">
        <v>6024615</v>
      </c>
      <c r="D269" s="4">
        <v>8363555.4542519301</v>
      </c>
      <c r="E269" s="4">
        <f t="shared" si="0"/>
        <v>0.38823069262549226</v>
      </c>
      <c r="F269" s="5">
        <f t="shared" si="1"/>
        <v>2338940.4542519301</v>
      </c>
      <c r="H269" s="2"/>
      <c r="I269" s="2"/>
    </row>
    <row r="270" spans="2:9" x14ac:dyDescent="0.25">
      <c r="B270" s="2">
        <v>44682</v>
      </c>
      <c r="C270">
        <v>10373780</v>
      </c>
      <c r="D270" s="4">
        <v>6293258.1934712296</v>
      </c>
      <c r="E270" s="4">
        <f t="shared" si="0"/>
        <v>0.39334956077040101</v>
      </c>
      <c r="F270" s="5">
        <f t="shared" si="1"/>
        <v>4080521.8065287704</v>
      </c>
      <c r="H270" s="2"/>
      <c r="I270" s="2"/>
    </row>
    <row r="271" spans="2:9" x14ac:dyDescent="0.25">
      <c r="B271" s="2">
        <v>44713</v>
      </c>
      <c r="C271">
        <v>8713963</v>
      </c>
      <c r="D271" s="4">
        <v>7187822.1981155602</v>
      </c>
      <c r="E271" s="4">
        <f t="shared" si="0"/>
        <v>0.17513739751757493</v>
      </c>
      <c r="F271" s="5">
        <f t="shared" si="1"/>
        <v>1526140.8018844398</v>
      </c>
      <c r="H271" s="2"/>
      <c r="I271" s="2"/>
    </row>
    <row r="272" spans="2:9" x14ac:dyDescent="0.25">
      <c r="B272" s="2">
        <v>44743</v>
      </c>
      <c r="C272">
        <v>5938357</v>
      </c>
      <c r="D272" s="4">
        <v>4593926.9542934196</v>
      </c>
      <c r="E272" s="4">
        <f t="shared" si="0"/>
        <v>0.22639764596614526</v>
      </c>
      <c r="F272" s="5">
        <f t="shared" si="1"/>
        <v>1344430.0457065804</v>
      </c>
    </row>
    <row r="273" spans="2:6" x14ac:dyDescent="0.25">
      <c r="B273" s="2">
        <v>44774</v>
      </c>
      <c r="C273">
        <v>1763571</v>
      </c>
      <c r="D273" s="4">
        <v>2839301.74812647</v>
      </c>
      <c r="E273" s="4">
        <f t="shared" si="0"/>
        <v>0.60997303092785604</v>
      </c>
      <c r="F273" s="5">
        <f t="shared" si="1"/>
        <v>1075730.74812647</v>
      </c>
    </row>
    <row r="274" spans="2:6" x14ac:dyDescent="0.25">
      <c r="B274" s="2">
        <v>44805</v>
      </c>
      <c r="C274">
        <v>2681947</v>
      </c>
      <c r="D274" s="4">
        <v>3620336.9205084401</v>
      </c>
      <c r="E274" s="4">
        <f t="shared" si="0"/>
        <v>0.34989129930921087</v>
      </c>
      <c r="F274" s="5">
        <f t="shared" si="1"/>
        <v>938389.92050844012</v>
      </c>
    </row>
    <row r="275" spans="2:6" x14ac:dyDescent="0.25">
      <c r="B275" s="2">
        <v>44835</v>
      </c>
      <c r="C275">
        <v>1251071</v>
      </c>
      <c r="D275" s="4">
        <v>6177825.0608538901</v>
      </c>
      <c r="E275" s="4">
        <f t="shared" si="0"/>
        <v>3.9380291453114094</v>
      </c>
      <c r="F275" s="5">
        <f t="shared" si="1"/>
        <v>4926754.0608538901</v>
      </c>
    </row>
    <row r="276" spans="2:6" x14ac:dyDescent="0.25">
      <c r="B276" s="2">
        <v>44866</v>
      </c>
      <c r="C276">
        <v>5233782</v>
      </c>
      <c r="D276" s="4">
        <v>4991422.5680210302</v>
      </c>
      <c r="E276" s="4">
        <f t="shared" si="0"/>
        <v>4.6306749493763753E-2</v>
      </c>
      <c r="F276" s="5">
        <f t="shared" si="1"/>
        <v>242359.43197896983</v>
      </c>
    </row>
    <row r="277" spans="2:6" x14ac:dyDescent="0.25">
      <c r="B277" s="2">
        <v>44896</v>
      </c>
      <c r="C277">
        <v>8074980</v>
      </c>
      <c r="D277" s="4">
        <v>16882083.059935801</v>
      </c>
      <c r="E277" s="4">
        <f t="shared" si="0"/>
        <v>1.0906656189781028</v>
      </c>
      <c r="F277" s="5">
        <f t="shared" si="1"/>
        <v>8807103.0599358007</v>
      </c>
    </row>
    <row r="278" spans="2:6" x14ac:dyDescent="0.25">
      <c r="E278" s="9">
        <f>AVERAGE(E260:E277)</f>
        <v>0.69183088817753235</v>
      </c>
      <c r="F278" s="9">
        <f>AVERAGE(F260:F277)</f>
        <v>2927235.341091888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2269-28F0-45CE-8AC6-71C8FCA73ACD}">
  <dimension ref="A1:N2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P1" sqref="P1:P1048576"/>
    </sheetView>
  </sheetViews>
  <sheetFormatPr defaultColWidth="14.28515625" defaultRowHeight="15" x14ac:dyDescent="0.25"/>
  <cols>
    <col min="1" max="1" width="35.85546875" bestFit="1" customWidth="1"/>
    <col min="2" max="2" width="14.42578125" bestFit="1" customWidth="1"/>
    <col min="3" max="3" width="19.5703125" bestFit="1" customWidth="1"/>
    <col min="4" max="4" width="20.7109375" bestFit="1" customWidth="1"/>
    <col min="5" max="5" width="39.7109375" bestFit="1" customWidth="1"/>
    <col min="6" max="6" width="25.5703125" bestFit="1" customWidth="1"/>
    <col min="8" max="8" width="8" bestFit="1" customWidth="1"/>
    <col min="9" max="9" width="27.42578125" bestFit="1" customWidth="1"/>
    <col min="10" max="10" width="14.42578125" bestFit="1" customWidth="1"/>
    <col min="11" max="11" width="19.5703125" bestFit="1" customWidth="1"/>
    <col min="12" max="12" width="20.7109375" bestFit="1" customWidth="1"/>
    <col min="13" max="13" width="39.7109375" bestFit="1" customWidth="1"/>
    <col min="14" max="14" width="25.5703125" bestFit="1" customWidth="1"/>
  </cols>
  <sheetData>
    <row r="1" spans="1:14" x14ac:dyDescent="0.25">
      <c r="A1" s="7" t="s">
        <v>14</v>
      </c>
      <c r="B1" t="s">
        <v>7</v>
      </c>
      <c r="C1" t="s">
        <v>8</v>
      </c>
      <c r="D1" t="s">
        <v>10</v>
      </c>
      <c r="E1" t="s">
        <v>20</v>
      </c>
      <c r="F1" t="s">
        <v>21</v>
      </c>
      <c r="I1" s="7" t="s">
        <v>15</v>
      </c>
      <c r="J1" t="s">
        <v>7</v>
      </c>
      <c r="K1" t="s">
        <v>8</v>
      </c>
      <c r="L1" t="s">
        <v>10</v>
      </c>
      <c r="M1" t="s">
        <v>20</v>
      </c>
      <c r="N1" t="s">
        <v>21</v>
      </c>
    </row>
    <row r="2" spans="1:14" x14ac:dyDescent="0.25">
      <c r="B2" s="2">
        <v>44378</v>
      </c>
      <c r="C2">
        <v>5499739</v>
      </c>
      <c r="D2" s="4">
        <v>2807155.0499842698</v>
      </c>
      <c r="E2" s="4">
        <f t="shared" ref="E2:E19" si="0">ABS((C2-D2)/C2)</f>
        <v>0.48958395116854275</v>
      </c>
      <c r="F2" s="5">
        <f>ABS(C2-D2)</f>
        <v>2692583.9500157302</v>
      </c>
      <c r="H2" s="6"/>
      <c r="J2" s="2">
        <v>44378</v>
      </c>
      <c r="K2">
        <v>5499739</v>
      </c>
      <c r="L2" s="4">
        <v>2738844.4231992499</v>
      </c>
      <c r="M2" s="4">
        <f t="shared" ref="M2:M19" si="1">ABS((K2-L2)/K2)</f>
        <v>0.50200465454828858</v>
      </c>
      <c r="N2" s="5">
        <f>ABS(K2-L2)</f>
        <v>2760894.5768007501</v>
      </c>
    </row>
    <row r="3" spans="1:14" x14ac:dyDescent="0.25">
      <c r="B3" s="2">
        <v>44409</v>
      </c>
      <c r="C3">
        <v>2580244</v>
      </c>
      <c r="D3" s="4">
        <v>2874343.5076780799</v>
      </c>
      <c r="E3" s="4">
        <f t="shared" si="0"/>
        <v>0.11398127761486118</v>
      </c>
      <c r="F3" s="5">
        <f t="shared" ref="F3:F19" si="2">ABS(C3-D3)</f>
        <v>294099.50767807988</v>
      </c>
      <c r="J3" s="2">
        <v>44409</v>
      </c>
      <c r="K3">
        <v>2580244</v>
      </c>
      <c r="L3" s="4">
        <v>2866747.41512415</v>
      </c>
      <c r="M3" s="4">
        <f t="shared" si="1"/>
        <v>0.11103733411419617</v>
      </c>
      <c r="N3" s="5">
        <f t="shared" ref="N3:N19" si="3">ABS(K3-L3)</f>
        <v>286503.41512414999</v>
      </c>
    </row>
    <row r="4" spans="1:14" x14ac:dyDescent="0.25">
      <c r="B4" s="2">
        <v>44440</v>
      </c>
      <c r="C4">
        <v>1996721</v>
      </c>
      <c r="D4" s="4">
        <v>3518943.64933347</v>
      </c>
      <c r="E4" s="4">
        <f t="shared" si="0"/>
        <v>0.76236121588017058</v>
      </c>
      <c r="F4" s="5">
        <f t="shared" si="2"/>
        <v>1522222.64933347</v>
      </c>
      <c r="J4" s="2">
        <v>44440</v>
      </c>
      <c r="K4">
        <v>1996721</v>
      </c>
      <c r="L4" s="4">
        <v>3534864.1902218899</v>
      </c>
      <c r="M4" s="4">
        <f t="shared" si="1"/>
        <v>0.77033455861980216</v>
      </c>
      <c r="N4" s="5">
        <f t="shared" si="3"/>
        <v>1538143.1902218899</v>
      </c>
    </row>
    <row r="5" spans="1:14" x14ac:dyDescent="0.25">
      <c r="B5" s="2">
        <v>44470</v>
      </c>
      <c r="C5">
        <v>14743853</v>
      </c>
      <c r="D5" s="4">
        <v>2265287.2580018002</v>
      </c>
      <c r="E5" s="4">
        <f t="shared" si="0"/>
        <v>0.84635717285014977</v>
      </c>
      <c r="F5" s="5">
        <f>ABS(C5-D5)</f>
        <v>12478565.741998199</v>
      </c>
      <c r="J5" s="2">
        <v>44470</v>
      </c>
      <c r="K5">
        <v>14743853</v>
      </c>
      <c r="L5" s="4">
        <v>2355700.16980633</v>
      </c>
      <c r="M5" s="4">
        <f t="shared" si="1"/>
        <v>0.84022492832732876</v>
      </c>
      <c r="N5" s="5">
        <f>ABS(K5-L5)</f>
        <v>12388152.83019367</v>
      </c>
    </row>
    <row r="6" spans="1:14" x14ac:dyDescent="0.25">
      <c r="B6" s="2">
        <v>44501</v>
      </c>
      <c r="C6">
        <v>3574557</v>
      </c>
      <c r="D6" s="4">
        <v>8931644.6079957709</v>
      </c>
      <c r="E6" s="4">
        <f t="shared" si="0"/>
        <v>1.498671753729419</v>
      </c>
      <c r="F6" s="5">
        <f t="shared" si="2"/>
        <v>5357087.6079957709</v>
      </c>
      <c r="J6" s="2">
        <v>44501</v>
      </c>
      <c r="K6">
        <v>3574557</v>
      </c>
      <c r="L6" s="4">
        <v>8971945.5529407095</v>
      </c>
      <c r="M6" s="4">
        <f t="shared" si="1"/>
        <v>1.5099461424005016</v>
      </c>
      <c r="N6" s="5">
        <f t="shared" si="3"/>
        <v>5397388.5529407095</v>
      </c>
    </row>
    <row r="7" spans="1:14" x14ac:dyDescent="0.25">
      <c r="B7" s="2">
        <v>44531</v>
      </c>
      <c r="C7">
        <v>14987686</v>
      </c>
      <c r="D7" s="4">
        <v>16682629.9557958</v>
      </c>
      <c r="E7" s="4">
        <f t="shared" si="0"/>
        <v>0.11308910233346231</v>
      </c>
      <c r="F7" s="5">
        <f t="shared" si="2"/>
        <v>1694943.9557958003</v>
      </c>
      <c r="J7" s="2">
        <v>44531</v>
      </c>
      <c r="K7">
        <v>14987686</v>
      </c>
      <c r="L7" s="4">
        <v>16715933.9663167</v>
      </c>
      <c r="M7" s="4">
        <f t="shared" si="1"/>
        <v>0.11531119389055121</v>
      </c>
      <c r="N7" s="5">
        <f t="shared" si="3"/>
        <v>1728247.9663167</v>
      </c>
    </row>
    <row r="8" spans="1:14" x14ac:dyDescent="0.25">
      <c r="B8" s="2">
        <v>44562</v>
      </c>
      <c r="C8">
        <v>4042415</v>
      </c>
      <c r="D8" s="4">
        <v>4357821.4538940703</v>
      </c>
      <c r="E8" s="4">
        <f t="shared" si="0"/>
        <v>7.8024263687441878E-2</v>
      </c>
      <c r="F8" s="5">
        <f t="shared" si="2"/>
        <v>315406.45389407035</v>
      </c>
      <c r="H8" s="2"/>
      <c r="J8" s="2">
        <v>44562</v>
      </c>
      <c r="K8">
        <v>4042415</v>
      </c>
      <c r="L8" s="4">
        <v>4576885.5248764101</v>
      </c>
      <c r="M8" s="4">
        <f t="shared" si="1"/>
        <v>0.13221564952544707</v>
      </c>
      <c r="N8" s="5">
        <f t="shared" si="3"/>
        <v>534470.52487641014</v>
      </c>
    </row>
    <row r="9" spans="1:14" x14ac:dyDescent="0.25">
      <c r="B9" s="2">
        <v>44593</v>
      </c>
      <c r="C9">
        <v>1030123</v>
      </c>
      <c r="D9" s="4">
        <v>3197332.5431148699</v>
      </c>
      <c r="E9" s="4">
        <f t="shared" si="0"/>
        <v>2.1038357003143022</v>
      </c>
      <c r="F9" s="5">
        <f t="shared" si="2"/>
        <v>2167209.5431148699</v>
      </c>
      <c r="H9" s="2"/>
      <c r="J9" s="2">
        <v>44593</v>
      </c>
      <c r="K9">
        <v>1030123</v>
      </c>
      <c r="L9" s="4">
        <v>3052810.2485359302</v>
      </c>
      <c r="M9" s="4">
        <f t="shared" si="1"/>
        <v>1.963539546768619</v>
      </c>
      <c r="N9" s="5">
        <f t="shared" si="3"/>
        <v>2022687.2485359302</v>
      </c>
    </row>
    <row r="10" spans="1:14" x14ac:dyDescent="0.25">
      <c r="B10" s="2">
        <v>44621</v>
      </c>
      <c r="C10">
        <v>4708485</v>
      </c>
      <c r="D10" s="4">
        <v>6364825.53926815</v>
      </c>
      <c r="E10" s="4">
        <f t="shared" si="0"/>
        <v>0.35177780947972648</v>
      </c>
      <c r="F10" s="5">
        <f t="shared" si="2"/>
        <v>1656340.53926815</v>
      </c>
      <c r="H10" s="2"/>
      <c r="J10" s="2">
        <v>44621</v>
      </c>
      <c r="K10">
        <v>4708485</v>
      </c>
      <c r="L10" s="4">
        <v>6318772.3186775604</v>
      </c>
      <c r="M10" s="4">
        <f t="shared" si="1"/>
        <v>0.34199690955319184</v>
      </c>
      <c r="N10" s="5">
        <f t="shared" si="3"/>
        <v>1610287.3186775604</v>
      </c>
    </row>
    <row r="11" spans="1:14" x14ac:dyDescent="0.25">
      <c r="B11" s="2">
        <v>44652</v>
      </c>
      <c r="C11">
        <v>6024615</v>
      </c>
      <c r="D11" s="4">
        <v>8211933.32494816</v>
      </c>
      <c r="E11" s="4">
        <f t="shared" si="0"/>
        <v>0.36306358579729325</v>
      </c>
      <c r="F11" s="5">
        <f t="shared" si="2"/>
        <v>2187318.32494816</v>
      </c>
      <c r="H11" s="2"/>
      <c r="J11" s="2">
        <v>44652</v>
      </c>
      <c r="K11">
        <v>6024615</v>
      </c>
      <c r="L11" s="4">
        <v>8217459.61725525</v>
      </c>
      <c r="M11" s="4">
        <f t="shared" si="1"/>
        <v>0.36398087135115686</v>
      </c>
      <c r="N11" s="5">
        <f t="shared" si="3"/>
        <v>2192844.61725525</v>
      </c>
    </row>
    <row r="12" spans="1:14" x14ac:dyDescent="0.25">
      <c r="B12" s="2">
        <v>44682</v>
      </c>
      <c r="C12">
        <v>10373780</v>
      </c>
      <c r="D12" s="4">
        <v>6378287.75276451</v>
      </c>
      <c r="E12" s="4">
        <f t="shared" si="0"/>
        <v>0.38515297675827809</v>
      </c>
      <c r="F12" s="5">
        <f t="shared" si="2"/>
        <v>3995492.24723549</v>
      </c>
      <c r="H12" s="2"/>
      <c r="J12" s="2">
        <v>44682</v>
      </c>
      <c r="K12">
        <v>10373780</v>
      </c>
      <c r="L12" s="4">
        <v>6392248.3301945701</v>
      </c>
      <c r="M12" s="4">
        <f t="shared" si="1"/>
        <v>0.38380722068575096</v>
      </c>
      <c r="N12" s="5">
        <f t="shared" si="3"/>
        <v>3981531.6698054299</v>
      </c>
    </row>
    <row r="13" spans="1:14" x14ac:dyDescent="0.25">
      <c r="B13" s="2">
        <v>44713</v>
      </c>
      <c r="C13">
        <v>8713963</v>
      </c>
      <c r="D13" s="4">
        <v>7282361.9125062898</v>
      </c>
      <c r="E13" s="4">
        <f t="shared" si="0"/>
        <v>0.1642881760564866</v>
      </c>
      <c r="F13" s="5">
        <f t="shared" si="2"/>
        <v>1431601.0874937102</v>
      </c>
      <c r="H13" s="2"/>
      <c r="J13" s="2">
        <v>44713</v>
      </c>
      <c r="K13">
        <v>8713963</v>
      </c>
      <c r="L13" s="4">
        <v>7299305.8784663901</v>
      </c>
      <c r="M13" s="4">
        <f t="shared" si="1"/>
        <v>0.16234371451125165</v>
      </c>
      <c r="N13" s="5">
        <f t="shared" si="3"/>
        <v>1414657.1215336099</v>
      </c>
    </row>
    <row r="14" spans="1:14" x14ac:dyDescent="0.25">
      <c r="B14" s="2">
        <v>44743</v>
      </c>
      <c r="C14">
        <v>5938357</v>
      </c>
      <c r="D14" s="4">
        <v>4667950.1554901898</v>
      </c>
      <c r="E14" s="4">
        <f t="shared" si="0"/>
        <v>0.2139323796985951</v>
      </c>
      <c r="F14" s="5">
        <f t="shared" si="2"/>
        <v>1270406.8445098102</v>
      </c>
      <c r="J14" s="2">
        <v>44743</v>
      </c>
      <c r="K14">
        <v>5938357</v>
      </c>
      <c r="L14" s="4">
        <v>4678342.2231279798</v>
      </c>
      <c r="M14" s="4">
        <f t="shared" si="1"/>
        <v>0.21218238931610547</v>
      </c>
      <c r="N14" s="5">
        <f t="shared" si="3"/>
        <v>1260014.7768720202</v>
      </c>
    </row>
    <row r="15" spans="1:14" x14ac:dyDescent="0.25">
      <c r="B15" s="2">
        <v>44774</v>
      </c>
      <c r="C15">
        <v>1763571</v>
      </c>
      <c r="D15" s="4">
        <v>2913165.85485496</v>
      </c>
      <c r="E15" s="4">
        <f t="shared" si="0"/>
        <v>0.65185629319996752</v>
      </c>
      <c r="F15" s="5">
        <f t="shared" si="2"/>
        <v>1149594.85485496</v>
      </c>
      <c r="J15" s="2">
        <v>44774</v>
      </c>
      <c r="K15">
        <v>1763571</v>
      </c>
      <c r="L15" s="4">
        <v>2923474.3919151002</v>
      </c>
      <c r="M15" s="4">
        <f t="shared" si="1"/>
        <v>0.65770155662295426</v>
      </c>
      <c r="N15" s="5">
        <f t="shared" si="3"/>
        <v>1159903.3919151002</v>
      </c>
    </row>
    <row r="16" spans="1:14" x14ac:dyDescent="0.25">
      <c r="B16" s="2">
        <v>44805</v>
      </c>
      <c r="C16">
        <v>2681947</v>
      </c>
      <c r="D16" s="4">
        <v>3676821.8910265099</v>
      </c>
      <c r="E16" s="4">
        <f t="shared" si="0"/>
        <v>0.37095248005516512</v>
      </c>
      <c r="F16" s="5">
        <f t="shared" si="2"/>
        <v>994874.89102650993</v>
      </c>
      <c r="J16" s="2">
        <v>44805</v>
      </c>
      <c r="K16">
        <v>2681947</v>
      </c>
      <c r="L16" s="4">
        <v>3681412.1271902998</v>
      </c>
      <c r="M16" s="4">
        <f t="shared" si="1"/>
        <v>0.37266401132844901</v>
      </c>
      <c r="N16" s="5">
        <f t="shared" si="3"/>
        <v>999465.1271902998</v>
      </c>
    </row>
    <row r="17" spans="2:14" x14ac:dyDescent="0.25">
      <c r="B17" s="2">
        <v>44835</v>
      </c>
      <c r="C17">
        <v>1251071</v>
      </c>
      <c r="D17" s="4">
        <v>6200765.3652220396</v>
      </c>
      <c r="E17" s="4">
        <f t="shared" si="0"/>
        <v>3.9563656780646661</v>
      </c>
      <c r="F17" s="5">
        <f t="shared" si="2"/>
        <v>4949694.3652220396</v>
      </c>
      <c r="J17" s="2">
        <v>44835</v>
      </c>
      <c r="K17">
        <v>1251071</v>
      </c>
      <c r="L17" s="4">
        <v>6194736.9002897302</v>
      </c>
      <c r="M17" s="4">
        <f t="shared" si="1"/>
        <v>3.9515470347324255</v>
      </c>
      <c r="N17" s="5">
        <f t="shared" si="3"/>
        <v>4943665.9002897302</v>
      </c>
    </row>
    <row r="18" spans="2:14" x14ac:dyDescent="0.25">
      <c r="B18" s="2">
        <v>44866</v>
      </c>
      <c r="C18">
        <v>5233782</v>
      </c>
      <c r="D18" s="4">
        <v>5049914.3932704302</v>
      </c>
      <c r="E18" s="4">
        <f t="shared" si="0"/>
        <v>3.5130925730106802E-2</v>
      </c>
      <c r="F18" s="5">
        <f t="shared" si="2"/>
        <v>183867.60672956984</v>
      </c>
      <c r="J18" s="2">
        <v>44866</v>
      </c>
      <c r="K18">
        <v>5233782</v>
      </c>
      <c r="L18" s="4">
        <v>5055138.5548445703</v>
      </c>
      <c r="M18" s="4">
        <f t="shared" si="1"/>
        <v>3.4132763870453463E-2</v>
      </c>
      <c r="N18" s="5">
        <f t="shared" si="3"/>
        <v>178643.44515542965</v>
      </c>
    </row>
    <row r="19" spans="2:14" x14ac:dyDescent="0.25">
      <c r="B19" s="2">
        <v>44896</v>
      </c>
      <c r="C19">
        <v>8074980</v>
      </c>
      <c r="D19" s="4">
        <v>16897639.810538001</v>
      </c>
      <c r="E19" s="4">
        <f t="shared" si="0"/>
        <v>1.0925921563320282</v>
      </c>
      <c r="F19" s="5">
        <f t="shared" si="2"/>
        <v>8822659.8105380014</v>
      </c>
      <c r="J19" s="2">
        <v>44896</v>
      </c>
      <c r="K19">
        <v>8074980</v>
      </c>
      <c r="L19" s="4">
        <v>16888914.787072498</v>
      </c>
      <c r="M19" s="4">
        <f t="shared" si="1"/>
        <v>1.0915116553938831</v>
      </c>
      <c r="N19" s="5">
        <f t="shared" si="3"/>
        <v>8813934.7870724984</v>
      </c>
    </row>
    <row r="20" spans="2:14" x14ac:dyDescent="0.25">
      <c r="E20" s="9">
        <f>AVERAGE(E2:E19)</f>
        <v>0.75505649437503675</v>
      </c>
      <c r="F20" s="9">
        <f>AVERAGE(F2:F19)</f>
        <v>2953553.8878695779</v>
      </c>
      <c r="M20" s="9">
        <f>AVERAGE(M2:M19)</f>
        <v>0.7509156741977977</v>
      </c>
      <c r="N20" s="9">
        <f>AVERAGE(N2:N19)</f>
        <v>2956190.9144876185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88C9-92F2-46AF-AFD3-C11E4FBA5281}">
  <dimension ref="A1:N44"/>
  <sheetViews>
    <sheetView workbookViewId="0">
      <pane xSplit="2" ySplit="1" topLeftCell="J2" activePane="bottomRight" state="frozen"/>
      <selection pane="topRight" activeCell="B1" sqref="B1"/>
      <selection pane="bottomLeft" activeCell="A2" sqref="A2"/>
      <selection pane="bottomRight" activeCell="M16" sqref="M16"/>
    </sheetView>
  </sheetViews>
  <sheetFormatPr defaultColWidth="14.28515625" defaultRowHeight="15" x14ac:dyDescent="0.25"/>
  <cols>
    <col min="1" max="1" width="35.85546875" bestFit="1" customWidth="1"/>
    <col min="2" max="2" width="14.42578125" bestFit="1" customWidth="1"/>
    <col min="3" max="3" width="19.5703125" bestFit="1" customWidth="1"/>
    <col min="4" max="4" width="20.7109375" bestFit="1" customWidth="1"/>
    <col min="5" max="5" width="39.7109375" bestFit="1" customWidth="1"/>
    <col min="6" max="6" width="25.5703125" bestFit="1" customWidth="1"/>
    <col min="8" max="8" width="8" bestFit="1" customWidth="1"/>
    <col min="9" max="9" width="27.42578125" bestFit="1" customWidth="1"/>
    <col min="10" max="10" width="14.42578125" bestFit="1" customWidth="1"/>
    <col min="11" max="11" width="19.5703125" bestFit="1" customWidth="1"/>
    <col min="12" max="12" width="20.7109375" bestFit="1" customWidth="1"/>
    <col min="13" max="13" width="39.7109375" bestFit="1" customWidth="1"/>
    <col min="14" max="14" width="25.5703125" bestFit="1" customWidth="1"/>
  </cols>
  <sheetData>
    <row r="1" spans="1:14" x14ac:dyDescent="0.25">
      <c r="A1" s="7" t="s">
        <v>14</v>
      </c>
      <c r="B1" t="s">
        <v>7</v>
      </c>
      <c r="C1" t="s">
        <v>8</v>
      </c>
      <c r="D1" t="s">
        <v>10</v>
      </c>
      <c r="E1" t="s">
        <v>20</v>
      </c>
      <c r="F1" t="s">
        <v>21</v>
      </c>
      <c r="I1" s="7" t="s">
        <v>22</v>
      </c>
      <c r="J1" t="s">
        <v>7</v>
      </c>
      <c r="K1" t="s">
        <v>8</v>
      </c>
      <c r="L1" t="s">
        <v>10</v>
      </c>
      <c r="M1" t="s">
        <v>20</v>
      </c>
      <c r="N1" t="s">
        <v>21</v>
      </c>
    </row>
    <row r="2" spans="1:14" x14ac:dyDescent="0.25">
      <c r="B2" s="2">
        <v>44378</v>
      </c>
      <c r="C2">
        <v>5499739</v>
      </c>
      <c r="D2" s="4">
        <v>2807155.0499842698</v>
      </c>
      <c r="E2" s="10">
        <f t="shared" ref="E2:E19" si="0">ABS((C2-D2)/C2)</f>
        <v>0.48958395116854275</v>
      </c>
      <c r="F2" s="5">
        <f>ABS(C2-D2)</f>
        <v>2692583.9500157302</v>
      </c>
      <c r="H2" s="6"/>
      <c r="J2" s="2">
        <v>44378</v>
      </c>
      <c r="K2">
        <v>5499739</v>
      </c>
      <c r="L2" s="4">
        <v>2656747.57907101</v>
      </c>
      <c r="M2" s="10">
        <f t="shared" ref="M2:M19" si="1">ABS((K2-L2)/K2)</f>
        <v>0.51693206185402429</v>
      </c>
      <c r="N2" s="5">
        <f>ABS(K2-L2)</f>
        <v>2842991.42092899</v>
      </c>
    </row>
    <row r="3" spans="1:14" x14ac:dyDescent="0.25">
      <c r="B3" s="2">
        <v>44409</v>
      </c>
      <c r="C3">
        <v>2580244</v>
      </c>
      <c r="D3" s="4">
        <v>2874343.5076780799</v>
      </c>
      <c r="E3" s="10">
        <f t="shared" si="0"/>
        <v>0.11398127761486118</v>
      </c>
      <c r="F3" s="5">
        <f t="shared" ref="F3:F19" si="2">ABS(C3-D3)</f>
        <v>294099.50767807988</v>
      </c>
      <c r="J3" s="2">
        <v>44409</v>
      </c>
      <c r="K3">
        <v>2580244</v>
      </c>
      <c r="L3" s="4">
        <v>2949505.6753511098</v>
      </c>
      <c r="M3" s="10">
        <f t="shared" si="1"/>
        <v>0.14311114582617374</v>
      </c>
      <c r="N3" s="5">
        <f t="shared" ref="N3:N19" si="3">ABS(K3-L3)</f>
        <v>369261.67535110982</v>
      </c>
    </row>
    <row r="4" spans="1:14" x14ac:dyDescent="0.25">
      <c r="B4" s="2">
        <v>44440</v>
      </c>
      <c r="C4">
        <v>1996721</v>
      </c>
      <c r="D4" s="4">
        <v>3518943.64933347</v>
      </c>
      <c r="E4" s="10">
        <f t="shared" si="0"/>
        <v>0.76236121588017058</v>
      </c>
      <c r="F4" s="5">
        <f t="shared" si="2"/>
        <v>1522222.64933347</v>
      </c>
      <c r="J4" s="2">
        <v>44440</v>
      </c>
      <c r="K4">
        <v>1996721</v>
      </c>
      <c r="L4" s="4">
        <v>3526860.04107972</v>
      </c>
      <c r="M4" s="10">
        <f t="shared" si="1"/>
        <v>0.76632591187237475</v>
      </c>
      <c r="N4" s="5">
        <f t="shared" si="3"/>
        <v>1530139.04107972</v>
      </c>
    </row>
    <row r="5" spans="1:14" x14ac:dyDescent="0.25">
      <c r="B5" s="2">
        <v>44470</v>
      </c>
      <c r="C5">
        <v>14743853</v>
      </c>
      <c r="D5" s="4">
        <v>2265287.2580018002</v>
      </c>
      <c r="E5" s="10">
        <f t="shared" si="0"/>
        <v>0.84635717285014977</v>
      </c>
      <c r="F5" s="5">
        <f>ABS(C5-D5)</f>
        <v>12478565.741998199</v>
      </c>
      <c r="J5" s="2">
        <v>44470</v>
      </c>
      <c r="K5">
        <v>14743853</v>
      </c>
      <c r="L5" s="4">
        <v>2410690.5546141998</v>
      </c>
      <c r="M5" s="10">
        <f t="shared" si="1"/>
        <v>0.83649521230208956</v>
      </c>
      <c r="N5" s="5">
        <f>ABS(K5-L5)</f>
        <v>12333162.445385801</v>
      </c>
    </row>
    <row r="6" spans="1:14" x14ac:dyDescent="0.25">
      <c r="B6" s="2">
        <v>44501</v>
      </c>
      <c r="C6">
        <v>3574557</v>
      </c>
      <c r="D6" s="4">
        <v>8931644.6079957709</v>
      </c>
      <c r="E6" s="10">
        <f t="shared" si="0"/>
        <v>1.498671753729419</v>
      </c>
      <c r="F6" s="5">
        <f t="shared" si="2"/>
        <v>5357087.6079957709</v>
      </c>
      <c r="J6" s="2">
        <v>44501</v>
      </c>
      <c r="K6">
        <v>3574557</v>
      </c>
      <c r="L6" s="4">
        <v>8572644.8069004994</v>
      </c>
      <c r="M6" s="10">
        <f t="shared" si="1"/>
        <v>1.3982397838111127</v>
      </c>
      <c r="N6" s="5">
        <f t="shared" si="3"/>
        <v>4998087.8069004994</v>
      </c>
    </row>
    <row r="7" spans="1:14" x14ac:dyDescent="0.25">
      <c r="B7" s="2">
        <v>44531</v>
      </c>
      <c r="C7">
        <v>14987686</v>
      </c>
      <c r="D7" s="4">
        <v>16682629.9557958</v>
      </c>
      <c r="E7" s="10">
        <f t="shared" si="0"/>
        <v>0.11308910233346231</v>
      </c>
      <c r="F7" s="5">
        <f t="shared" si="2"/>
        <v>1694943.9557958003</v>
      </c>
      <c r="J7" s="2">
        <v>44531</v>
      </c>
      <c r="K7">
        <v>14987686</v>
      </c>
      <c r="L7" s="4">
        <v>16198860.9549991</v>
      </c>
      <c r="M7" s="10">
        <f t="shared" si="1"/>
        <v>8.0811337720786275E-2</v>
      </c>
      <c r="N7" s="5">
        <f t="shared" si="3"/>
        <v>1211174.9549991004</v>
      </c>
    </row>
    <row r="8" spans="1:14" x14ac:dyDescent="0.25">
      <c r="B8" s="2">
        <v>44562</v>
      </c>
      <c r="C8">
        <v>4042415</v>
      </c>
      <c r="D8" s="4">
        <v>4357821.4538940703</v>
      </c>
      <c r="E8" s="10">
        <f t="shared" si="0"/>
        <v>7.8024263687441878E-2</v>
      </c>
      <c r="F8" s="5">
        <f t="shared" si="2"/>
        <v>315406.45389407035</v>
      </c>
      <c r="H8" s="2"/>
      <c r="J8" s="2">
        <v>44562</v>
      </c>
      <c r="K8">
        <v>4042415</v>
      </c>
      <c r="L8" s="4">
        <v>4209838.9060574099</v>
      </c>
      <c r="M8" s="10">
        <f t="shared" si="1"/>
        <v>4.1416803088601725E-2</v>
      </c>
      <c r="N8" s="5">
        <f t="shared" si="3"/>
        <v>167423.90605740994</v>
      </c>
    </row>
    <row r="9" spans="1:14" x14ac:dyDescent="0.25">
      <c r="B9" s="2">
        <v>44593</v>
      </c>
      <c r="C9">
        <v>1030123</v>
      </c>
      <c r="D9" s="4">
        <v>3197332.5431148699</v>
      </c>
      <c r="E9" s="10">
        <f t="shared" si="0"/>
        <v>2.1038357003143022</v>
      </c>
      <c r="F9" s="5">
        <f t="shared" si="2"/>
        <v>2167209.5431148699</v>
      </c>
      <c r="H9" s="2"/>
      <c r="J9" s="2">
        <v>44593</v>
      </c>
      <c r="K9">
        <v>1030123</v>
      </c>
      <c r="L9" s="4">
        <v>2068482.6772154099</v>
      </c>
      <c r="M9" s="10">
        <f t="shared" si="1"/>
        <v>1.0079958191550038</v>
      </c>
      <c r="N9" s="5">
        <f t="shared" si="3"/>
        <v>1038359.6772154099</v>
      </c>
    </row>
    <row r="10" spans="1:14" x14ac:dyDescent="0.25">
      <c r="B10" s="2">
        <v>44621</v>
      </c>
      <c r="C10">
        <v>4708485</v>
      </c>
      <c r="D10" s="4">
        <v>6364825.53926815</v>
      </c>
      <c r="E10" s="10">
        <f t="shared" si="0"/>
        <v>0.35177780947972648</v>
      </c>
      <c r="F10" s="5">
        <f t="shared" si="2"/>
        <v>1656340.53926815</v>
      </c>
      <c r="H10" s="2"/>
      <c r="J10" s="2">
        <v>44621</v>
      </c>
      <c r="K10">
        <v>4708485</v>
      </c>
      <c r="L10" s="4">
        <v>5880428.3136616703</v>
      </c>
      <c r="M10" s="10">
        <f t="shared" si="1"/>
        <v>0.24890029673274319</v>
      </c>
      <c r="N10" s="5">
        <f t="shared" si="3"/>
        <v>1171943.3136616703</v>
      </c>
    </row>
    <row r="11" spans="1:14" x14ac:dyDescent="0.25">
      <c r="B11" s="2">
        <v>44652</v>
      </c>
      <c r="C11">
        <v>6024615</v>
      </c>
      <c r="D11" s="4">
        <v>8211933.32494816</v>
      </c>
      <c r="E11" s="10">
        <f t="shared" si="0"/>
        <v>0.36306358579729325</v>
      </c>
      <c r="F11" s="5">
        <f t="shared" si="2"/>
        <v>2187318.32494816</v>
      </c>
      <c r="H11" s="2"/>
      <c r="J11" s="2">
        <v>44652</v>
      </c>
      <c r="K11">
        <v>6024615</v>
      </c>
      <c r="L11" s="4">
        <v>8101444.2375296596</v>
      </c>
      <c r="M11" s="10">
        <f t="shared" si="1"/>
        <v>0.34472397614281736</v>
      </c>
      <c r="N11" s="5">
        <f t="shared" si="3"/>
        <v>2076829.2375296596</v>
      </c>
    </row>
    <row r="12" spans="1:14" x14ac:dyDescent="0.25">
      <c r="B12" s="2">
        <v>44682</v>
      </c>
      <c r="C12">
        <v>10373780</v>
      </c>
      <c r="D12" s="4">
        <v>6378287.75276451</v>
      </c>
      <c r="E12" s="10">
        <f t="shared" si="0"/>
        <v>0.38515297675827809</v>
      </c>
      <c r="F12" s="5">
        <f t="shared" si="2"/>
        <v>3995492.24723549</v>
      </c>
      <c r="H12" s="2"/>
      <c r="J12" s="2">
        <v>44682</v>
      </c>
      <c r="K12">
        <v>10373780</v>
      </c>
      <c r="L12" s="4">
        <v>6454690.9783212002</v>
      </c>
      <c r="M12" s="10">
        <f t="shared" si="1"/>
        <v>0.37778794438274182</v>
      </c>
      <c r="N12" s="5">
        <f t="shared" si="3"/>
        <v>3919089.0216787998</v>
      </c>
    </row>
    <row r="13" spans="1:14" x14ac:dyDescent="0.25">
      <c r="B13" s="2">
        <v>44713</v>
      </c>
      <c r="C13">
        <v>8713963</v>
      </c>
      <c r="D13" s="4">
        <v>7282361.9125062898</v>
      </c>
      <c r="E13" s="10">
        <f t="shared" si="0"/>
        <v>0.1642881760564866</v>
      </c>
      <c r="F13" s="5">
        <f t="shared" si="2"/>
        <v>1431601.0874937102</v>
      </c>
      <c r="H13" s="2"/>
      <c r="J13" s="2">
        <v>44713</v>
      </c>
      <c r="K13">
        <v>8713963</v>
      </c>
      <c r="L13" s="4">
        <v>7433870.0788008897</v>
      </c>
      <c r="M13" s="10">
        <f t="shared" si="1"/>
        <v>0.14690134915641831</v>
      </c>
      <c r="N13" s="5">
        <f t="shared" si="3"/>
        <v>1280092.9211991103</v>
      </c>
    </row>
    <row r="14" spans="1:14" x14ac:dyDescent="0.25">
      <c r="B14" s="2">
        <v>44743</v>
      </c>
      <c r="C14">
        <v>5938357</v>
      </c>
      <c r="D14" s="4">
        <v>4667950.1554901898</v>
      </c>
      <c r="E14" s="10">
        <f t="shared" si="0"/>
        <v>0.2139323796985951</v>
      </c>
      <c r="F14" s="5">
        <f t="shared" si="2"/>
        <v>1270406.8445098102</v>
      </c>
      <c r="J14" s="2">
        <v>44743</v>
      </c>
      <c r="K14">
        <v>5938357</v>
      </c>
      <c r="L14" s="4">
        <v>4716490.6131016798</v>
      </c>
      <c r="M14" s="10">
        <f t="shared" si="1"/>
        <v>0.20575832454975682</v>
      </c>
      <c r="N14" s="5">
        <f t="shared" si="3"/>
        <v>1221866.3868983202</v>
      </c>
    </row>
    <row r="15" spans="1:14" x14ac:dyDescent="0.25">
      <c r="B15" s="2">
        <v>44774</v>
      </c>
      <c r="C15">
        <v>1763571</v>
      </c>
      <c r="D15" s="4">
        <v>2913165.85485496</v>
      </c>
      <c r="E15" s="10">
        <f t="shared" si="0"/>
        <v>0.65185629319996752</v>
      </c>
      <c r="F15" s="5">
        <f t="shared" si="2"/>
        <v>1149594.85485496</v>
      </c>
      <c r="J15" s="2">
        <v>44774</v>
      </c>
      <c r="K15">
        <v>1763571</v>
      </c>
      <c r="L15" s="4">
        <v>2991660.8274609698</v>
      </c>
      <c r="M15" s="10">
        <f t="shared" si="1"/>
        <v>0.69636540148424408</v>
      </c>
      <c r="N15" s="5">
        <f t="shared" si="3"/>
        <v>1228089.8274609698</v>
      </c>
    </row>
    <row r="16" spans="1:14" x14ac:dyDescent="0.25">
      <c r="B16" s="2">
        <v>44805</v>
      </c>
      <c r="C16">
        <v>2681947</v>
      </c>
      <c r="D16" s="4">
        <v>3676821.8910265099</v>
      </c>
      <c r="E16" s="10">
        <f t="shared" si="0"/>
        <v>0.37095248005516512</v>
      </c>
      <c r="F16" s="5">
        <f t="shared" si="2"/>
        <v>994874.89102650993</v>
      </c>
      <c r="J16" s="2">
        <v>44805</v>
      </c>
      <c r="K16">
        <v>2681947</v>
      </c>
      <c r="L16" s="4">
        <v>3698609.4818791002</v>
      </c>
      <c r="M16" s="10">
        <f t="shared" si="1"/>
        <v>0.37907627625717444</v>
      </c>
      <c r="N16" s="5">
        <f t="shared" si="3"/>
        <v>1016662.4818791002</v>
      </c>
    </row>
    <row r="17" spans="2:14" x14ac:dyDescent="0.25">
      <c r="B17" s="2">
        <v>44835</v>
      </c>
      <c r="C17">
        <v>1251071</v>
      </c>
      <c r="D17" s="4">
        <v>6200765.3652220396</v>
      </c>
      <c r="E17" s="10">
        <f t="shared" si="0"/>
        <v>3.9563656780646661</v>
      </c>
      <c r="F17" s="5">
        <f t="shared" si="2"/>
        <v>4949694.3652220396</v>
      </c>
      <c r="J17" s="2">
        <v>44835</v>
      </c>
      <c r="K17" s="4">
        <v>1251071</v>
      </c>
      <c r="L17" s="4">
        <v>5980572.6845072899</v>
      </c>
      <c r="M17" s="10">
        <f t="shared" si="1"/>
        <v>3.7803623331587817</v>
      </c>
      <c r="N17" s="5">
        <f t="shared" si="3"/>
        <v>4729501.6845072899</v>
      </c>
    </row>
    <row r="18" spans="2:14" x14ac:dyDescent="0.25">
      <c r="B18" s="2">
        <v>44866</v>
      </c>
      <c r="C18">
        <v>5233782</v>
      </c>
      <c r="D18" s="4">
        <v>5049914.3932704302</v>
      </c>
      <c r="E18" s="10">
        <f t="shared" si="0"/>
        <v>3.5130925730106802E-2</v>
      </c>
      <c r="F18" s="5">
        <f t="shared" si="2"/>
        <v>183867.60672956984</v>
      </c>
      <c r="J18" s="2">
        <v>44866</v>
      </c>
      <c r="K18" s="4">
        <v>5233782</v>
      </c>
      <c r="L18" s="4">
        <v>5097394.5243618703</v>
      </c>
      <c r="M18" s="10">
        <f t="shared" si="1"/>
        <v>2.6059066968805684E-2</v>
      </c>
      <c r="N18" s="5">
        <f t="shared" si="3"/>
        <v>136387.47563812975</v>
      </c>
    </row>
    <row r="19" spans="2:14" x14ac:dyDescent="0.25">
      <c r="B19" s="2">
        <v>44896</v>
      </c>
      <c r="C19">
        <v>8074980</v>
      </c>
      <c r="D19" s="4">
        <v>16897639.810538001</v>
      </c>
      <c r="E19" s="10">
        <f t="shared" si="0"/>
        <v>1.0925921563320282</v>
      </c>
      <c r="F19" s="5">
        <f t="shared" si="2"/>
        <v>8822659.8105380014</v>
      </c>
      <c r="J19" s="2">
        <v>44896</v>
      </c>
      <c r="K19">
        <v>8074980</v>
      </c>
      <c r="L19" s="4">
        <v>16747706.3559909</v>
      </c>
      <c r="M19" s="10">
        <f t="shared" si="1"/>
        <v>1.0740244998737953</v>
      </c>
      <c r="N19" s="5">
        <f t="shared" si="3"/>
        <v>8672726.3559908997</v>
      </c>
    </row>
    <row r="20" spans="2:14" x14ac:dyDescent="0.25">
      <c r="E20" s="11">
        <f>AVERAGE(E2:E19)</f>
        <v>0.75505649437503675</v>
      </c>
      <c r="F20" s="9">
        <f>AVERAGE(F2:F19)</f>
        <v>2953553.8878695779</v>
      </c>
      <c r="M20" s="11">
        <f>AVERAGE(M2:M19)</f>
        <v>0.67062708579652475</v>
      </c>
      <c r="N20" s="9">
        <f>AVERAGE(N2:N19)</f>
        <v>2774654.9796867766</v>
      </c>
    </row>
    <row r="27" spans="2:14" x14ac:dyDescent="0.25">
      <c r="J27" s="2"/>
    </row>
    <row r="28" spans="2:14" x14ac:dyDescent="0.25">
      <c r="J28" s="2"/>
    </row>
    <row r="29" spans="2:14" x14ac:dyDescent="0.25">
      <c r="J29" s="2"/>
    </row>
    <row r="30" spans="2:14" x14ac:dyDescent="0.25">
      <c r="J30" s="2"/>
    </row>
    <row r="31" spans="2:14" x14ac:dyDescent="0.25">
      <c r="J31" s="2"/>
    </row>
    <row r="32" spans="2:14" x14ac:dyDescent="0.25">
      <c r="J32" s="2"/>
      <c r="K32" s="3"/>
    </row>
    <row r="33" spans="10:11" x14ac:dyDescent="0.25">
      <c r="J33" s="2"/>
    </row>
    <row r="34" spans="10:11" x14ac:dyDescent="0.25">
      <c r="J34" s="2"/>
    </row>
    <row r="35" spans="10:11" x14ac:dyDescent="0.25">
      <c r="J35" s="2"/>
    </row>
    <row r="36" spans="10:11" x14ac:dyDescent="0.25">
      <c r="J36" s="2"/>
    </row>
    <row r="37" spans="10:11" x14ac:dyDescent="0.25">
      <c r="J37" s="2"/>
    </row>
    <row r="38" spans="10:11" x14ac:dyDescent="0.25">
      <c r="J38" s="2"/>
    </row>
    <row r="39" spans="10:11" x14ac:dyDescent="0.25">
      <c r="J39" s="2"/>
    </row>
    <row r="40" spans="10:11" x14ac:dyDescent="0.25">
      <c r="J40" s="2"/>
    </row>
    <row r="41" spans="10:11" x14ac:dyDescent="0.25">
      <c r="J41" s="2"/>
    </row>
    <row r="42" spans="10:11" x14ac:dyDescent="0.25">
      <c r="J42" s="2"/>
    </row>
    <row r="43" spans="10:11" x14ac:dyDescent="0.25">
      <c r="J43" s="2"/>
    </row>
    <row r="44" spans="10:11" x14ac:dyDescent="0.25">
      <c r="J44" s="2"/>
      <c r="K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Completely raw data</vt:lpstr>
      <vt:lpstr>2000s data</vt:lpstr>
      <vt:lpstr>resampled data</vt:lpstr>
      <vt:lpstr>Grid Search baseline</vt:lpstr>
      <vt:lpstr>Seasonal MA 2</vt:lpstr>
      <vt:lpstr>Seasonal MA 0</vt:lpstr>
      <vt:lpstr>MA 2</vt:lpstr>
      <vt:lpstr>MA 4</vt:lpstr>
      <vt:lpstr>MA 5</vt:lpstr>
      <vt:lpstr>Moving Average analysis</vt:lpstr>
      <vt:lpstr>Moving Average analysis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Kenney</cp:lastModifiedBy>
  <dcterms:created xsi:type="dcterms:W3CDTF">2023-12-11T18:24:40Z</dcterms:created>
  <dcterms:modified xsi:type="dcterms:W3CDTF">2023-12-13T19:51:57Z</dcterms:modified>
</cp:coreProperties>
</file>